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AMDEC" sheetId="2" state="visible" r:id="rId2"/>
    <sheet xmlns:r="http://schemas.openxmlformats.org/officeDocument/2006/relationships" name="Barèmes" sheetId="3" state="visible" r:id="rId3"/>
    <sheet xmlns:r="http://schemas.openxmlformats.org/officeDocument/2006/relationships" name="Seuils" sheetId="4" state="visible" r:id="rId4"/>
    <sheet xmlns:r="http://schemas.openxmlformats.org/officeDocument/2006/relationships" name="Synthèse" sheetId="5" state="visible" r:id="rId5"/>
  </sheets>
  <definedNames>
    <definedName name="_xlnm._FilterDatabase" localSheetId="1" hidden="1">'AMDEC'!$A$3:$R$103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808080"/>
    </font>
    <font>
      <name val="Calibri"/>
      <b val="1"/>
      <color rgb="00FFFFFF"/>
    </font>
    <font>
      <name val="Calibri"/>
    </font>
    <font>
      <name val="Calibri"/>
      <b val="1"/>
      <color rgb="001F2A44"/>
    </font>
    <font>
      <name val="Calibri"/>
      <color rgb="0000000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9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 d'emploi</t>
        </is>
      </c>
    </row>
    <row r="3">
      <c r="A3" s="2" t="inlineStr">
        <is>
          <t>Objet :</t>
        </is>
      </c>
    </row>
    <row r="4">
      <c r="A4" s="3" t="inlineStr">
        <is>
          <t>Analyse des Modes de Défaillance, de leurs Effets et de leur Criticité.</t>
        </is>
      </c>
    </row>
    <row r="5">
      <c r="A5" s="2" t="inlineStr">
        <is>
          <t>Saisie (onglet AMDEC) :</t>
        </is>
      </c>
    </row>
    <row r="6">
      <c r="A6" s="3" t="inlineStr">
        <is>
          <t>1. Une ligne par couple mode de défaillance / cause.</t>
        </is>
      </c>
    </row>
    <row r="7">
      <c r="A7" s="3" t="inlineStr">
        <is>
          <t>2. Coter G, O, D de 1 à 10 selon l'onglet Barèmes (saisie contrôlée).</t>
        </is>
      </c>
    </row>
    <row r="8">
      <c r="A8" s="3" t="inlineStr">
        <is>
          <t>3. Criticité = G × O × D (calculée, colorée selon l'onglet Seuils).</t>
        </is>
      </c>
    </row>
    <row r="9">
      <c r="A9" s="3" t="inlineStr">
        <is>
          <t>4. Pour toute criticité orange/rouge, définir une action, un responsable, une échéance.</t>
        </is>
      </c>
    </row>
    <row r="10">
      <c r="A10" s="3" t="inlineStr">
        <is>
          <t>5. Après mise en œuvre, recoter G', O', D' : la criticité résiduelle et le gain se calculent.</t>
        </is>
      </c>
    </row>
    <row r="11">
      <c r="A11" s="2" t="inlineStr">
        <is>
          <t>Lecture :</t>
        </is>
      </c>
    </row>
    <row r="12">
      <c r="A12" s="3" t="inlineStr">
        <is>
          <t>Onglet Synthèse : répartition avant/après, réduction globale, critiques sans action.</t>
        </is>
      </c>
    </row>
    <row r="13">
      <c r="A13" s="2" t="inlineStr">
        <is>
          <t>Rappel :</t>
        </is>
      </c>
    </row>
    <row r="14">
      <c r="A14" s="3" t="inlineStr">
        <is>
          <t>La gravité G ne baisse en général que par une modification de conception.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4" customWidth="1" min="4" max="4"/>
    <col width="24" customWidth="1" min="5" max="5"/>
    <col width="20" customWidth="1" min="6" max="6"/>
    <col width="5" customWidth="1" min="7" max="7"/>
    <col width="5" customWidth="1" min="8" max="8"/>
    <col width="5" customWidth="1" min="9" max="9"/>
    <col width="11" customWidth="1" min="10" max="10"/>
    <col width="28" customWidth="1" min="11" max="11"/>
    <col width="14" customWidth="1" min="12" max="12"/>
    <col width="11" customWidth="1" min="13" max="13"/>
    <col width="5" customWidth="1" min="14" max="14"/>
    <col width="5" customWidth="1" min="15" max="15"/>
    <col width="5" customWidth="1" min="16" max="16"/>
    <col width="11" customWidth="1" min="17" max="17"/>
    <col width="9" customWidth="1" min="18" max="18"/>
  </cols>
  <sheetData>
    <row r="1">
      <c r="A1" s="1" t="inlineStr">
        <is>
          <t>Fiche AMDEC – [Produit / Processus]</t>
        </is>
      </c>
    </row>
    <row r="2">
      <c r="A2" s="4" t="inlineStr">
        <is>
          <t>Seuils : criticité &lt; [Seuils!B3] acceptable ; &lt; [Seuils!B4] à surveiller ; au-delà action obligatoire.</t>
        </is>
      </c>
    </row>
    <row r="3" ht="32" customHeight="1">
      <c r="A3" s="5" t="inlineStr">
        <is>
          <t>N°</t>
        </is>
      </c>
      <c r="B3" s="5" t="inlineStr">
        <is>
          <t>Élément / Fonction</t>
        </is>
      </c>
      <c r="C3" s="5" t="inlineStr">
        <is>
          <t>Mode de défaillance</t>
        </is>
      </c>
      <c r="D3" s="5" t="inlineStr">
        <is>
          <t>Effet</t>
        </is>
      </c>
      <c r="E3" s="5" t="inlineStr">
        <is>
          <t>Cause</t>
        </is>
      </c>
      <c r="F3" s="5" t="inlineStr">
        <is>
          <t>Détection actuelle</t>
        </is>
      </c>
      <c r="G3" s="5" t="inlineStr">
        <is>
          <t>G</t>
        </is>
      </c>
      <c r="H3" s="5" t="inlineStr">
        <is>
          <t>O</t>
        </is>
      </c>
      <c r="I3" s="5" t="inlineStr">
        <is>
          <t>D</t>
        </is>
      </c>
      <c r="J3" s="5" t="inlineStr">
        <is>
          <t>Criticité (C=G×O×D)</t>
        </is>
      </c>
      <c r="K3" s="5" t="inlineStr">
        <is>
          <t>Action corrective</t>
        </is>
      </c>
      <c r="L3" s="5" t="inlineStr">
        <is>
          <t>Responsable</t>
        </is>
      </c>
      <c r="M3" s="5" t="inlineStr">
        <is>
          <t>Échéance</t>
        </is>
      </c>
      <c r="N3" s="5" t="inlineStr">
        <is>
          <t>G'</t>
        </is>
      </c>
      <c r="O3" s="5" t="inlineStr">
        <is>
          <t>O'</t>
        </is>
      </c>
      <c r="P3" s="5" t="inlineStr">
        <is>
          <t>D'</t>
        </is>
      </c>
      <c r="Q3" s="5" t="inlineStr">
        <is>
          <t>Criticité résiduelle</t>
        </is>
      </c>
      <c r="R3" s="5" t="inlineStr">
        <is>
          <t>Gain</t>
        </is>
      </c>
    </row>
    <row r="4">
      <c r="A4" s="6" t="n">
        <v>1</v>
      </c>
      <c r="B4" s="6" t="inlineStr">
        <is>
          <t>[Pompe]</t>
        </is>
      </c>
      <c r="C4" s="6" t="inlineStr">
        <is>
          <t>[Ne démarre pas]</t>
        </is>
      </c>
      <c r="D4" s="6" t="inlineStr">
        <is>
          <t>[Arrêt ligne]</t>
        </is>
      </c>
      <c r="E4" s="6" t="inlineStr">
        <is>
          <t>[Défaut alimentation]</t>
        </is>
      </c>
      <c r="F4" s="6" t="inlineStr">
        <is>
          <t>[Contrôle visuel]</t>
        </is>
      </c>
      <c r="G4" s="7" t="n">
        <v>8</v>
      </c>
      <c r="H4" s="7" t="n">
        <v>4</v>
      </c>
      <c r="I4" s="7" t="n">
        <v>5</v>
      </c>
      <c r="J4" s="7">
        <f>IF(COUNT(G4:I4)=3,G4*H4*I4,"")</f>
        <v/>
      </c>
      <c r="K4" s="6" t="inlineStr">
        <is>
          <t>[Ajout capteur de courant]</t>
        </is>
      </c>
      <c r="L4" s="6" t="inlineStr">
        <is>
          <t>[Nom]</t>
        </is>
      </c>
      <c r="M4" s="6" t="inlineStr">
        <is>
          <t>[JJ/MM]</t>
        </is>
      </c>
      <c r="N4" s="7" t="n">
        <v>8</v>
      </c>
      <c r="O4" s="7" t="n">
        <v>2</v>
      </c>
      <c r="P4" s="7" t="n">
        <v>2</v>
      </c>
      <c r="Q4" s="7">
        <f>IF(COUNT(N4:P4)=3,N4*O4*P4,"")</f>
        <v/>
      </c>
      <c r="R4" s="8">
        <f>IF(AND(ISNUMBER(J4),ISNUMBER(Q4),J4&gt;0),(J4-Q4)/J4,"")</f>
        <v/>
      </c>
    </row>
    <row r="5">
      <c r="A5" s="6" t="n">
        <v>2</v>
      </c>
      <c r="B5" s="6" t="inlineStr">
        <is>
          <t>[Joint]</t>
        </is>
      </c>
      <c r="C5" s="6" t="inlineStr">
        <is>
          <t>[Fuite]</t>
        </is>
      </c>
      <c r="D5" s="6" t="inlineStr">
        <is>
          <t>[Perte de fluide]</t>
        </is>
      </c>
      <c r="E5" s="6" t="inlineStr">
        <is>
          <t>[Usure]</t>
        </is>
      </c>
      <c r="F5" s="6" t="inlineStr">
        <is>
          <t>[Inspection mensuelle]</t>
        </is>
      </c>
      <c r="G5" s="7" t="n">
        <v>5</v>
      </c>
      <c r="H5" s="7" t="n">
        <v>3</v>
      </c>
      <c r="I5" s="7" t="n">
        <v>3</v>
      </c>
      <c r="J5" s="7">
        <f>IF(COUNT(G5:I5)=3,G5*H5*I5,"")</f>
        <v/>
      </c>
      <c r="K5" s="6" t="inlineStr"/>
      <c r="L5" s="6" t="inlineStr"/>
      <c r="M5" s="6" t="inlineStr"/>
      <c r="N5" s="7" t="n"/>
      <c r="O5" s="7" t="n"/>
      <c r="P5" s="7" t="n"/>
      <c r="Q5" s="7">
        <f>IF(COUNT(N5:P5)=3,N5*O5*P5,"")</f>
        <v/>
      </c>
      <c r="R5" s="8">
        <f>IF(AND(ISNUMBER(J5),ISNUMBER(Q5),J5&gt;0),(J5-Q5)/J5,"")</f>
        <v/>
      </c>
    </row>
    <row r="6">
      <c r="A6" s="6" t="n"/>
      <c r="B6" s="6" t="n"/>
      <c r="C6" s="6" t="n"/>
      <c r="D6" s="6" t="n"/>
      <c r="E6" s="6" t="n"/>
      <c r="F6" s="6" t="n"/>
      <c r="G6" s="7" t="n"/>
      <c r="H6" s="7" t="n"/>
      <c r="I6" s="7" t="n"/>
      <c r="J6" s="7">
        <f>IF(COUNT(G6:I6)=3,G6*H6*I6,"")</f>
        <v/>
      </c>
      <c r="K6" s="6" t="n"/>
      <c r="L6" s="6" t="n"/>
      <c r="M6" s="6" t="n"/>
      <c r="N6" s="7" t="n"/>
      <c r="O6" s="7" t="n"/>
      <c r="P6" s="7" t="n"/>
      <c r="Q6" s="7">
        <f>IF(COUNT(N6:P6)=3,N6*O6*P6,"")</f>
        <v/>
      </c>
      <c r="R6" s="8">
        <f>IF(AND(ISNUMBER(J6),ISNUMBER(Q6),J6&gt;0),(J6-Q6)/J6,"")</f>
        <v/>
      </c>
    </row>
    <row r="7">
      <c r="A7" s="6" t="n"/>
      <c r="B7" s="6" t="n"/>
      <c r="C7" s="6" t="n"/>
      <c r="D7" s="6" t="n"/>
      <c r="E7" s="6" t="n"/>
      <c r="F7" s="6" t="n"/>
      <c r="G7" s="7" t="n"/>
      <c r="H7" s="7" t="n"/>
      <c r="I7" s="7" t="n"/>
      <c r="J7" s="7">
        <f>IF(COUNT(G7:I7)=3,G7*H7*I7,"")</f>
        <v/>
      </c>
      <c r="K7" s="6" t="n"/>
      <c r="L7" s="6" t="n"/>
      <c r="M7" s="6" t="n"/>
      <c r="N7" s="7" t="n"/>
      <c r="O7" s="7" t="n"/>
      <c r="P7" s="7" t="n"/>
      <c r="Q7" s="7">
        <f>IF(COUNT(N7:P7)=3,N7*O7*P7,"")</f>
        <v/>
      </c>
      <c r="R7" s="8">
        <f>IF(AND(ISNUMBER(J7),ISNUMBER(Q7),J7&gt;0),(J7-Q7)/J7,"")</f>
        <v/>
      </c>
    </row>
    <row r="8">
      <c r="A8" s="6" t="n"/>
      <c r="B8" s="6" t="n"/>
      <c r="C8" s="6" t="n"/>
      <c r="D8" s="6" t="n"/>
      <c r="E8" s="6" t="n"/>
      <c r="F8" s="6" t="n"/>
      <c r="G8" s="7" t="n"/>
      <c r="H8" s="7" t="n"/>
      <c r="I8" s="7" t="n"/>
      <c r="J8" s="7">
        <f>IF(COUNT(G8:I8)=3,G8*H8*I8,"")</f>
        <v/>
      </c>
      <c r="K8" s="6" t="n"/>
      <c r="L8" s="6" t="n"/>
      <c r="M8" s="6" t="n"/>
      <c r="N8" s="7" t="n"/>
      <c r="O8" s="7" t="n"/>
      <c r="P8" s="7" t="n"/>
      <c r="Q8" s="7">
        <f>IF(COUNT(N8:P8)=3,N8*O8*P8,"")</f>
        <v/>
      </c>
      <c r="R8" s="8">
        <f>IF(AND(ISNUMBER(J8),ISNUMBER(Q8),J8&gt;0),(J8-Q8)/J8,"")</f>
        <v/>
      </c>
    </row>
    <row r="9">
      <c r="A9" s="6" t="n"/>
      <c r="B9" s="6" t="n"/>
      <c r="C9" s="6" t="n"/>
      <c r="D9" s="6" t="n"/>
      <c r="E9" s="6" t="n"/>
      <c r="F9" s="6" t="n"/>
      <c r="G9" s="7" t="n"/>
      <c r="H9" s="7" t="n"/>
      <c r="I9" s="7" t="n"/>
      <c r="J9" s="7">
        <f>IF(COUNT(G9:I9)=3,G9*H9*I9,"")</f>
        <v/>
      </c>
      <c r="K9" s="6" t="n"/>
      <c r="L9" s="6" t="n"/>
      <c r="M9" s="6" t="n"/>
      <c r="N9" s="7" t="n"/>
      <c r="O9" s="7" t="n"/>
      <c r="P9" s="7" t="n"/>
      <c r="Q9" s="7">
        <f>IF(COUNT(N9:P9)=3,N9*O9*P9,"")</f>
        <v/>
      </c>
      <c r="R9" s="8">
        <f>IF(AND(ISNUMBER(J9),ISNUMBER(Q9),J9&gt;0),(J9-Q9)/J9,"")</f>
        <v/>
      </c>
    </row>
    <row r="10">
      <c r="A10" s="6" t="n"/>
      <c r="B10" s="6" t="n"/>
      <c r="C10" s="6" t="n"/>
      <c r="D10" s="6" t="n"/>
      <c r="E10" s="6" t="n"/>
      <c r="F10" s="6" t="n"/>
      <c r="G10" s="7" t="n"/>
      <c r="H10" s="7" t="n"/>
      <c r="I10" s="7" t="n"/>
      <c r="J10" s="7">
        <f>IF(COUNT(G10:I10)=3,G10*H10*I10,"")</f>
        <v/>
      </c>
      <c r="K10" s="6" t="n"/>
      <c r="L10" s="6" t="n"/>
      <c r="M10" s="6" t="n"/>
      <c r="N10" s="7" t="n"/>
      <c r="O10" s="7" t="n"/>
      <c r="P10" s="7" t="n"/>
      <c r="Q10" s="7">
        <f>IF(COUNT(N10:P10)=3,N10*O10*P10,"")</f>
        <v/>
      </c>
      <c r="R10" s="8">
        <f>IF(AND(ISNUMBER(J10),ISNUMBER(Q10),J10&gt;0),(J10-Q10)/J10,"")</f>
        <v/>
      </c>
    </row>
    <row r="11">
      <c r="A11" s="6" t="n"/>
      <c r="B11" s="6" t="n"/>
      <c r="C11" s="6" t="n"/>
      <c r="D11" s="6" t="n"/>
      <c r="E11" s="6" t="n"/>
      <c r="F11" s="6" t="n"/>
      <c r="G11" s="7" t="n"/>
      <c r="H11" s="7" t="n"/>
      <c r="I11" s="7" t="n"/>
      <c r="J11" s="7">
        <f>IF(COUNT(G11:I11)=3,G11*H11*I11,"")</f>
        <v/>
      </c>
      <c r="K11" s="6" t="n"/>
      <c r="L11" s="6" t="n"/>
      <c r="M11" s="6" t="n"/>
      <c r="N11" s="7" t="n"/>
      <c r="O11" s="7" t="n"/>
      <c r="P11" s="7" t="n"/>
      <c r="Q11" s="7">
        <f>IF(COUNT(N11:P11)=3,N11*O11*P11,"")</f>
        <v/>
      </c>
      <c r="R11" s="8">
        <f>IF(AND(ISNUMBER(J11),ISNUMBER(Q11),J11&gt;0),(J11-Q11)/J11,"")</f>
        <v/>
      </c>
    </row>
    <row r="12">
      <c r="A12" s="6" t="n"/>
      <c r="B12" s="6" t="n"/>
      <c r="C12" s="6" t="n"/>
      <c r="D12" s="6" t="n"/>
      <c r="E12" s="6" t="n"/>
      <c r="F12" s="6" t="n"/>
      <c r="G12" s="7" t="n"/>
      <c r="H12" s="7" t="n"/>
      <c r="I12" s="7" t="n"/>
      <c r="J12" s="7">
        <f>IF(COUNT(G12:I12)=3,G12*H12*I12,"")</f>
        <v/>
      </c>
      <c r="K12" s="6" t="n"/>
      <c r="L12" s="6" t="n"/>
      <c r="M12" s="6" t="n"/>
      <c r="N12" s="7" t="n"/>
      <c r="O12" s="7" t="n"/>
      <c r="P12" s="7" t="n"/>
      <c r="Q12" s="7">
        <f>IF(COUNT(N12:P12)=3,N12*O12*P12,"")</f>
        <v/>
      </c>
      <c r="R12" s="8">
        <f>IF(AND(ISNUMBER(J12),ISNUMBER(Q12),J12&gt;0),(J12-Q12)/J12,"")</f>
        <v/>
      </c>
    </row>
    <row r="13">
      <c r="A13" s="6" t="n"/>
      <c r="B13" s="6" t="n"/>
      <c r="C13" s="6" t="n"/>
      <c r="D13" s="6" t="n"/>
      <c r="E13" s="6" t="n"/>
      <c r="F13" s="6" t="n"/>
      <c r="G13" s="7" t="n"/>
      <c r="H13" s="7" t="n"/>
      <c r="I13" s="7" t="n"/>
      <c r="J13" s="7">
        <f>IF(COUNT(G13:I13)=3,G13*H13*I13,"")</f>
        <v/>
      </c>
      <c r="K13" s="6" t="n"/>
      <c r="L13" s="6" t="n"/>
      <c r="M13" s="6" t="n"/>
      <c r="N13" s="7" t="n"/>
      <c r="O13" s="7" t="n"/>
      <c r="P13" s="7" t="n"/>
      <c r="Q13" s="7">
        <f>IF(COUNT(N13:P13)=3,N13*O13*P13,"")</f>
        <v/>
      </c>
      <c r="R13" s="8">
        <f>IF(AND(ISNUMBER(J13),ISNUMBER(Q13),J13&gt;0),(J13-Q13)/J13,"")</f>
        <v/>
      </c>
    </row>
    <row r="14">
      <c r="A14" s="6" t="n"/>
      <c r="B14" s="6" t="n"/>
      <c r="C14" s="6" t="n"/>
      <c r="D14" s="6" t="n"/>
      <c r="E14" s="6" t="n"/>
      <c r="F14" s="6" t="n"/>
      <c r="G14" s="7" t="n"/>
      <c r="H14" s="7" t="n"/>
      <c r="I14" s="7" t="n"/>
      <c r="J14" s="7">
        <f>IF(COUNT(G14:I14)=3,G14*H14*I14,"")</f>
        <v/>
      </c>
      <c r="K14" s="6" t="n"/>
      <c r="L14" s="6" t="n"/>
      <c r="M14" s="6" t="n"/>
      <c r="N14" s="7" t="n"/>
      <c r="O14" s="7" t="n"/>
      <c r="P14" s="7" t="n"/>
      <c r="Q14" s="7">
        <f>IF(COUNT(N14:P14)=3,N14*O14*P14,"")</f>
        <v/>
      </c>
      <c r="R14" s="8">
        <f>IF(AND(ISNUMBER(J14),ISNUMBER(Q14),J14&gt;0),(J14-Q14)/J14,"")</f>
        <v/>
      </c>
    </row>
    <row r="15">
      <c r="A15" s="6" t="n"/>
      <c r="B15" s="6" t="n"/>
      <c r="C15" s="6" t="n"/>
      <c r="D15" s="6" t="n"/>
      <c r="E15" s="6" t="n"/>
      <c r="F15" s="6" t="n"/>
      <c r="G15" s="7" t="n"/>
      <c r="H15" s="7" t="n"/>
      <c r="I15" s="7" t="n"/>
      <c r="J15" s="7">
        <f>IF(COUNT(G15:I15)=3,G15*H15*I15,"")</f>
        <v/>
      </c>
      <c r="K15" s="6" t="n"/>
      <c r="L15" s="6" t="n"/>
      <c r="M15" s="6" t="n"/>
      <c r="N15" s="7" t="n"/>
      <c r="O15" s="7" t="n"/>
      <c r="P15" s="7" t="n"/>
      <c r="Q15" s="7">
        <f>IF(COUNT(N15:P15)=3,N15*O15*P15,"")</f>
        <v/>
      </c>
      <c r="R15" s="8">
        <f>IF(AND(ISNUMBER(J15),ISNUMBER(Q15),J15&gt;0),(J15-Q15)/J15,"")</f>
        <v/>
      </c>
    </row>
    <row r="16">
      <c r="A16" s="6" t="n"/>
      <c r="B16" s="6" t="n"/>
      <c r="C16" s="6" t="n"/>
      <c r="D16" s="6" t="n"/>
      <c r="E16" s="6" t="n"/>
      <c r="F16" s="6" t="n"/>
      <c r="G16" s="7" t="n"/>
      <c r="H16" s="7" t="n"/>
      <c r="I16" s="7" t="n"/>
      <c r="J16" s="7">
        <f>IF(COUNT(G16:I16)=3,G16*H16*I16,"")</f>
        <v/>
      </c>
      <c r="K16" s="6" t="n"/>
      <c r="L16" s="6" t="n"/>
      <c r="M16" s="6" t="n"/>
      <c r="N16" s="7" t="n"/>
      <c r="O16" s="7" t="n"/>
      <c r="P16" s="7" t="n"/>
      <c r="Q16" s="7">
        <f>IF(COUNT(N16:P16)=3,N16*O16*P16,"")</f>
        <v/>
      </c>
      <c r="R16" s="8">
        <f>IF(AND(ISNUMBER(J16),ISNUMBER(Q16),J16&gt;0),(J16-Q16)/J16,"")</f>
        <v/>
      </c>
    </row>
    <row r="17">
      <c r="A17" s="6" t="n"/>
      <c r="B17" s="6" t="n"/>
      <c r="C17" s="6" t="n"/>
      <c r="D17" s="6" t="n"/>
      <c r="E17" s="6" t="n"/>
      <c r="F17" s="6" t="n"/>
      <c r="G17" s="7" t="n"/>
      <c r="H17" s="7" t="n"/>
      <c r="I17" s="7" t="n"/>
      <c r="J17" s="7">
        <f>IF(COUNT(G17:I17)=3,G17*H17*I17,"")</f>
        <v/>
      </c>
      <c r="K17" s="6" t="n"/>
      <c r="L17" s="6" t="n"/>
      <c r="M17" s="6" t="n"/>
      <c r="N17" s="7" t="n"/>
      <c r="O17" s="7" t="n"/>
      <c r="P17" s="7" t="n"/>
      <c r="Q17" s="7">
        <f>IF(COUNT(N17:P17)=3,N17*O17*P17,"")</f>
        <v/>
      </c>
      <c r="R17" s="8">
        <f>IF(AND(ISNUMBER(J17),ISNUMBER(Q17),J17&gt;0),(J17-Q17)/J17,"")</f>
        <v/>
      </c>
    </row>
    <row r="18">
      <c r="A18" s="6" t="n"/>
      <c r="B18" s="6" t="n"/>
      <c r="C18" s="6" t="n"/>
      <c r="D18" s="6" t="n"/>
      <c r="E18" s="6" t="n"/>
      <c r="F18" s="6" t="n"/>
      <c r="G18" s="7" t="n"/>
      <c r="H18" s="7" t="n"/>
      <c r="I18" s="7" t="n"/>
      <c r="J18" s="7">
        <f>IF(COUNT(G18:I18)=3,G18*H18*I18,"")</f>
        <v/>
      </c>
      <c r="K18" s="6" t="n"/>
      <c r="L18" s="6" t="n"/>
      <c r="M18" s="6" t="n"/>
      <c r="N18" s="7" t="n"/>
      <c r="O18" s="7" t="n"/>
      <c r="P18" s="7" t="n"/>
      <c r="Q18" s="7">
        <f>IF(COUNT(N18:P18)=3,N18*O18*P18,"")</f>
        <v/>
      </c>
      <c r="R18" s="8">
        <f>IF(AND(ISNUMBER(J18),ISNUMBER(Q18),J18&gt;0),(J18-Q18)/J18,"")</f>
        <v/>
      </c>
    </row>
    <row r="19">
      <c r="A19" s="6" t="n"/>
      <c r="B19" s="6" t="n"/>
      <c r="C19" s="6" t="n"/>
      <c r="D19" s="6" t="n"/>
      <c r="E19" s="6" t="n"/>
      <c r="F19" s="6" t="n"/>
      <c r="G19" s="7" t="n"/>
      <c r="H19" s="7" t="n"/>
      <c r="I19" s="7" t="n"/>
      <c r="J19" s="7">
        <f>IF(COUNT(G19:I19)=3,G19*H19*I19,"")</f>
        <v/>
      </c>
      <c r="K19" s="6" t="n"/>
      <c r="L19" s="6" t="n"/>
      <c r="M19" s="6" t="n"/>
      <c r="N19" s="7" t="n"/>
      <c r="O19" s="7" t="n"/>
      <c r="P19" s="7" t="n"/>
      <c r="Q19" s="7">
        <f>IF(COUNT(N19:P19)=3,N19*O19*P19,"")</f>
        <v/>
      </c>
      <c r="R19" s="8">
        <f>IF(AND(ISNUMBER(J19),ISNUMBER(Q19),J19&gt;0),(J19-Q19)/J19,"")</f>
        <v/>
      </c>
    </row>
    <row r="20">
      <c r="A20" s="6" t="n"/>
      <c r="B20" s="6" t="n"/>
      <c r="C20" s="6" t="n"/>
      <c r="D20" s="6" t="n"/>
      <c r="E20" s="6" t="n"/>
      <c r="F20" s="6" t="n"/>
      <c r="G20" s="7" t="n"/>
      <c r="H20" s="7" t="n"/>
      <c r="I20" s="7" t="n"/>
      <c r="J20" s="7">
        <f>IF(COUNT(G20:I20)=3,G20*H20*I20,"")</f>
        <v/>
      </c>
      <c r="K20" s="6" t="n"/>
      <c r="L20" s="6" t="n"/>
      <c r="M20" s="6" t="n"/>
      <c r="N20" s="7" t="n"/>
      <c r="O20" s="7" t="n"/>
      <c r="P20" s="7" t="n"/>
      <c r="Q20" s="7">
        <f>IF(COUNT(N20:P20)=3,N20*O20*P20,"")</f>
        <v/>
      </c>
      <c r="R20" s="8">
        <f>IF(AND(ISNUMBER(J20),ISNUMBER(Q20),J20&gt;0),(J20-Q20)/J20,"")</f>
        <v/>
      </c>
    </row>
    <row r="21">
      <c r="A21" s="6" t="n"/>
      <c r="B21" s="6" t="n"/>
      <c r="C21" s="6" t="n"/>
      <c r="D21" s="6" t="n"/>
      <c r="E21" s="6" t="n"/>
      <c r="F21" s="6" t="n"/>
      <c r="G21" s="7" t="n"/>
      <c r="H21" s="7" t="n"/>
      <c r="I21" s="7" t="n"/>
      <c r="J21" s="7">
        <f>IF(COUNT(G21:I21)=3,G21*H21*I21,"")</f>
        <v/>
      </c>
      <c r="K21" s="6" t="n"/>
      <c r="L21" s="6" t="n"/>
      <c r="M21" s="6" t="n"/>
      <c r="N21" s="7" t="n"/>
      <c r="O21" s="7" t="n"/>
      <c r="P21" s="7" t="n"/>
      <c r="Q21" s="7">
        <f>IF(COUNT(N21:P21)=3,N21*O21*P21,"")</f>
        <v/>
      </c>
      <c r="R21" s="8">
        <f>IF(AND(ISNUMBER(J21),ISNUMBER(Q21),J21&gt;0),(J21-Q21)/J21,"")</f>
        <v/>
      </c>
    </row>
    <row r="22">
      <c r="A22" s="6" t="n"/>
      <c r="B22" s="6" t="n"/>
      <c r="C22" s="6" t="n"/>
      <c r="D22" s="6" t="n"/>
      <c r="E22" s="6" t="n"/>
      <c r="F22" s="6" t="n"/>
      <c r="G22" s="7" t="n"/>
      <c r="H22" s="7" t="n"/>
      <c r="I22" s="7" t="n"/>
      <c r="J22" s="7">
        <f>IF(COUNT(G22:I22)=3,G22*H22*I22,"")</f>
        <v/>
      </c>
      <c r="K22" s="6" t="n"/>
      <c r="L22" s="6" t="n"/>
      <c r="M22" s="6" t="n"/>
      <c r="N22" s="7" t="n"/>
      <c r="O22" s="7" t="n"/>
      <c r="P22" s="7" t="n"/>
      <c r="Q22" s="7">
        <f>IF(COUNT(N22:P22)=3,N22*O22*P22,"")</f>
        <v/>
      </c>
      <c r="R22" s="8">
        <f>IF(AND(ISNUMBER(J22),ISNUMBER(Q22),J22&gt;0),(J22-Q22)/J22,"")</f>
        <v/>
      </c>
    </row>
    <row r="23">
      <c r="A23" s="6" t="n"/>
      <c r="B23" s="6" t="n"/>
      <c r="C23" s="6" t="n"/>
      <c r="D23" s="6" t="n"/>
      <c r="E23" s="6" t="n"/>
      <c r="F23" s="6" t="n"/>
      <c r="G23" s="7" t="n"/>
      <c r="H23" s="7" t="n"/>
      <c r="I23" s="7" t="n"/>
      <c r="J23" s="7">
        <f>IF(COUNT(G23:I23)=3,G23*H23*I23,"")</f>
        <v/>
      </c>
      <c r="K23" s="6" t="n"/>
      <c r="L23" s="6" t="n"/>
      <c r="M23" s="6" t="n"/>
      <c r="N23" s="7" t="n"/>
      <c r="O23" s="7" t="n"/>
      <c r="P23" s="7" t="n"/>
      <c r="Q23" s="7">
        <f>IF(COUNT(N23:P23)=3,N23*O23*P23,"")</f>
        <v/>
      </c>
      <c r="R23" s="8">
        <f>IF(AND(ISNUMBER(J23),ISNUMBER(Q23),J23&gt;0),(J23-Q23)/J23,"")</f>
        <v/>
      </c>
    </row>
    <row r="24">
      <c r="A24" s="6" t="n"/>
      <c r="B24" s="6" t="n"/>
      <c r="C24" s="6" t="n"/>
      <c r="D24" s="6" t="n"/>
      <c r="E24" s="6" t="n"/>
      <c r="F24" s="6" t="n"/>
      <c r="G24" s="7" t="n"/>
      <c r="H24" s="7" t="n"/>
      <c r="I24" s="7" t="n"/>
      <c r="J24" s="7">
        <f>IF(COUNT(G24:I24)=3,G24*H24*I24,"")</f>
        <v/>
      </c>
      <c r="K24" s="6" t="n"/>
      <c r="L24" s="6" t="n"/>
      <c r="M24" s="6" t="n"/>
      <c r="N24" s="7" t="n"/>
      <c r="O24" s="7" t="n"/>
      <c r="P24" s="7" t="n"/>
      <c r="Q24" s="7">
        <f>IF(COUNT(N24:P24)=3,N24*O24*P24,"")</f>
        <v/>
      </c>
      <c r="R24" s="8">
        <f>IF(AND(ISNUMBER(J24),ISNUMBER(Q24),J24&gt;0),(J24-Q24)/J24,"")</f>
        <v/>
      </c>
    </row>
    <row r="25">
      <c r="A25" s="6" t="n"/>
      <c r="B25" s="6" t="n"/>
      <c r="C25" s="6" t="n"/>
      <c r="D25" s="6" t="n"/>
      <c r="E25" s="6" t="n"/>
      <c r="F25" s="6" t="n"/>
      <c r="G25" s="7" t="n"/>
      <c r="H25" s="7" t="n"/>
      <c r="I25" s="7" t="n"/>
      <c r="J25" s="7">
        <f>IF(COUNT(G25:I25)=3,G25*H25*I25,"")</f>
        <v/>
      </c>
      <c r="K25" s="6" t="n"/>
      <c r="L25" s="6" t="n"/>
      <c r="M25" s="6" t="n"/>
      <c r="N25" s="7" t="n"/>
      <c r="O25" s="7" t="n"/>
      <c r="P25" s="7" t="n"/>
      <c r="Q25" s="7">
        <f>IF(COUNT(N25:P25)=3,N25*O25*P25,"")</f>
        <v/>
      </c>
      <c r="R25" s="8">
        <f>IF(AND(ISNUMBER(J25),ISNUMBER(Q25),J25&gt;0),(J25-Q25)/J25,"")</f>
        <v/>
      </c>
    </row>
    <row r="26">
      <c r="A26" s="6" t="n"/>
      <c r="B26" s="6" t="n"/>
      <c r="C26" s="6" t="n"/>
      <c r="D26" s="6" t="n"/>
      <c r="E26" s="6" t="n"/>
      <c r="F26" s="6" t="n"/>
      <c r="G26" s="7" t="n"/>
      <c r="H26" s="7" t="n"/>
      <c r="I26" s="7" t="n"/>
      <c r="J26" s="7">
        <f>IF(COUNT(G26:I26)=3,G26*H26*I26,"")</f>
        <v/>
      </c>
      <c r="K26" s="6" t="n"/>
      <c r="L26" s="6" t="n"/>
      <c r="M26" s="6" t="n"/>
      <c r="N26" s="7" t="n"/>
      <c r="O26" s="7" t="n"/>
      <c r="P26" s="7" t="n"/>
      <c r="Q26" s="7">
        <f>IF(COUNT(N26:P26)=3,N26*O26*P26,"")</f>
        <v/>
      </c>
      <c r="R26" s="8">
        <f>IF(AND(ISNUMBER(J26),ISNUMBER(Q26),J26&gt;0),(J26-Q26)/J26,"")</f>
        <v/>
      </c>
    </row>
    <row r="27">
      <c r="A27" s="6" t="n"/>
      <c r="B27" s="6" t="n"/>
      <c r="C27" s="6" t="n"/>
      <c r="D27" s="6" t="n"/>
      <c r="E27" s="6" t="n"/>
      <c r="F27" s="6" t="n"/>
      <c r="G27" s="7" t="n"/>
      <c r="H27" s="7" t="n"/>
      <c r="I27" s="7" t="n"/>
      <c r="J27" s="7">
        <f>IF(COUNT(G27:I27)=3,G27*H27*I27,"")</f>
        <v/>
      </c>
      <c r="K27" s="6" t="n"/>
      <c r="L27" s="6" t="n"/>
      <c r="M27" s="6" t="n"/>
      <c r="N27" s="7" t="n"/>
      <c r="O27" s="7" t="n"/>
      <c r="P27" s="7" t="n"/>
      <c r="Q27" s="7">
        <f>IF(COUNT(N27:P27)=3,N27*O27*P27,"")</f>
        <v/>
      </c>
      <c r="R27" s="8">
        <f>IF(AND(ISNUMBER(J27),ISNUMBER(Q27),J27&gt;0),(J27-Q27)/J27,"")</f>
        <v/>
      </c>
    </row>
    <row r="28">
      <c r="A28" s="6" t="n"/>
      <c r="B28" s="6" t="n"/>
      <c r="C28" s="6" t="n"/>
      <c r="D28" s="6" t="n"/>
      <c r="E28" s="6" t="n"/>
      <c r="F28" s="6" t="n"/>
      <c r="G28" s="7" t="n"/>
      <c r="H28" s="7" t="n"/>
      <c r="I28" s="7" t="n"/>
      <c r="J28" s="7">
        <f>IF(COUNT(G28:I28)=3,G28*H28*I28,"")</f>
        <v/>
      </c>
      <c r="K28" s="6" t="n"/>
      <c r="L28" s="6" t="n"/>
      <c r="M28" s="6" t="n"/>
      <c r="N28" s="7" t="n"/>
      <c r="O28" s="7" t="n"/>
      <c r="P28" s="7" t="n"/>
      <c r="Q28" s="7">
        <f>IF(COUNT(N28:P28)=3,N28*O28*P28,"")</f>
        <v/>
      </c>
      <c r="R28" s="8">
        <f>IF(AND(ISNUMBER(J28),ISNUMBER(Q28),J28&gt;0),(J28-Q28)/J28,"")</f>
        <v/>
      </c>
    </row>
    <row r="29">
      <c r="A29" s="6" t="n"/>
      <c r="B29" s="6" t="n"/>
      <c r="C29" s="6" t="n"/>
      <c r="D29" s="6" t="n"/>
      <c r="E29" s="6" t="n"/>
      <c r="F29" s="6" t="n"/>
      <c r="G29" s="7" t="n"/>
      <c r="H29" s="7" t="n"/>
      <c r="I29" s="7" t="n"/>
      <c r="J29" s="7">
        <f>IF(COUNT(G29:I29)=3,G29*H29*I29,"")</f>
        <v/>
      </c>
      <c r="K29" s="6" t="n"/>
      <c r="L29" s="6" t="n"/>
      <c r="M29" s="6" t="n"/>
      <c r="N29" s="7" t="n"/>
      <c r="O29" s="7" t="n"/>
      <c r="P29" s="7" t="n"/>
      <c r="Q29" s="7">
        <f>IF(COUNT(N29:P29)=3,N29*O29*P29,"")</f>
        <v/>
      </c>
      <c r="R29" s="8">
        <f>IF(AND(ISNUMBER(J29),ISNUMBER(Q29),J29&gt;0),(J29-Q29)/J29,"")</f>
        <v/>
      </c>
    </row>
    <row r="30">
      <c r="A30" s="6" t="n"/>
      <c r="B30" s="6" t="n"/>
      <c r="C30" s="6" t="n"/>
      <c r="D30" s="6" t="n"/>
      <c r="E30" s="6" t="n"/>
      <c r="F30" s="6" t="n"/>
      <c r="G30" s="7" t="n"/>
      <c r="H30" s="7" t="n"/>
      <c r="I30" s="7" t="n"/>
      <c r="J30" s="7">
        <f>IF(COUNT(G30:I30)=3,G30*H30*I30,"")</f>
        <v/>
      </c>
      <c r="K30" s="6" t="n"/>
      <c r="L30" s="6" t="n"/>
      <c r="M30" s="6" t="n"/>
      <c r="N30" s="7" t="n"/>
      <c r="O30" s="7" t="n"/>
      <c r="P30" s="7" t="n"/>
      <c r="Q30" s="7">
        <f>IF(COUNT(N30:P30)=3,N30*O30*P30,"")</f>
        <v/>
      </c>
      <c r="R30" s="8">
        <f>IF(AND(ISNUMBER(J30),ISNUMBER(Q30),J30&gt;0),(J30-Q30)/J30,"")</f>
        <v/>
      </c>
    </row>
    <row r="31">
      <c r="A31" s="6" t="n"/>
      <c r="B31" s="6" t="n"/>
      <c r="C31" s="6" t="n"/>
      <c r="D31" s="6" t="n"/>
      <c r="E31" s="6" t="n"/>
      <c r="F31" s="6" t="n"/>
      <c r="G31" s="7" t="n"/>
      <c r="H31" s="7" t="n"/>
      <c r="I31" s="7" t="n"/>
      <c r="J31" s="7">
        <f>IF(COUNT(G31:I31)=3,G31*H31*I31,"")</f>
        <v/>
      </c>
      <c r="K31" s="6" t="n"/>
      <c r="L31" s="6" t="n"/>
      <c r="M31" s="6" t="n"/>
      <c r="N31" s="7" t="n"/>
      <c r="O31" s="7" t="n"/>
      <c r="P31" s="7" t="n"/>
      <c r="Q31" s="7">
        <f>IF(COUNT(N31:P31)=3,N31*O31*P31,"")</f>
        <v/>
      </c>
      <c r="R31" s="8">
        <f>IF(AND(ISNUMBER(J31),ISNUMBER(Q31),J31&gt;0),(J31-Q31)/J31,"")</f>
        <v/>
      </c>
    </row>
    <row r="32">
      <c r="A32" s="6" t="n"/>
      <c r="B32" s="6" t="n"/>
      <c r="C32" s="6" t="n"/>
      <c r="D32" s="6" t="n"/>
      <c r="E32" s="6" t="n"/>
      <c r="F32" s="6" t="n"/>
      <c r="G32" s="7" t="n"/>
      <c r="H32" s="7" t="n"/>
      <c r="I32" s="7" t="n"/>
      <c r="J32" s="7">
        <f>IF(COUNT(G32:I32)=3,G32*H32*I32,"")</f>
        <v/>
      </c>
      <c r="K32" s="6" t="n"/>
      <c r="L32" s="6" t="n"/>
      <c r="M32" s="6" t="n"/>
      <c r="N32" s="7" t="n"/>
      <c r="O32" s="7" t="n"/>
      <c r="P32" s="7" t="n"/>
      <c r="Q32" s="7">
        <f>IF(COUNT(N32:P32)=3,N32*O32*P32,"")</f>
        <v/>
      </c>
      <c r="R32" s="8">
        <f>IF(AND(ISNUMBER(J32),ISNUMBER(Q32),J32&gt;0),(J32-Q32)/J32,"")</f>
        <v/>
      </c>
    </row>
    <row r="33">
      <c r="A33" s="6" t="n"/>
      <c r="B33" s="6" t="n"/>
      <c r="C33" s="6" t="n"/>
      <c r="D33" s="6" t="n"/>
      <c r="E33" s="6" t="n"/>
      <c r="F33" s="6" t="n"/>
      <c r="G33" s="7" t="n"/>
      <c r="H33" s="7" t="n"/>
      <c r="I33" s="7" t="n"/>
      <c r="J33" s="7">
        <f>IF(COUNT(G33:I33)=3,G33*H33*I33,"")</f>
        <v/>
      </c>
      <c r="K33" s="6" t="n"/>
      <c r="L33" s="6" t="n"/>
      <c r="M33" s="6" t="n"/>
      <c r="N33" s="7" t="n"/>
      <c r="O33" s="7" t="n"/>
      <c r="P33" s="7" t="n"/>
      <c r="Q33" s="7">
        <f>IF(COUNT(N33:P33)=3,N33*O33*P33,"")</f>
        <v/>
      </c>
      <c r="R33" s="8">
        <f>IF(AND(ISNUMBER(J33),ISNUMBER(Q33),J33&gt;0),(J33-Q33)/J33,"")</f>
        <v/>
      </c>
    </row>
    <row r="34">
      <c r="A34" s="6" t="n"/>
      <c r="B34" s="6" t="n"/>
      <c r="C34" s="6" t="n"/>
      <c r="D34" s="6" t="n"/>
      <c r="E34" s="6" t="n"/>
      <c r="F34" s="6" t="n"/>
      <c r="G34" s="7" t="n"/>
      <c r="H34" s="7" t="n"/>
      <c r="I34" s="7" t="n"/>
      <c r="J34" s="7">
        <f>IF(COUNT(G34:I34)=3,G34*H34*I34,"")</f>
        <v/>
      </c>
      <c r="K34" s="6" t="n"/>
      <c r="L34" s="6" t="n"/>
      <c r="M34" s="6" t="n"/>
      <c r="N34" s="7" t="n"/>
      <c r="O34" s="7" t="n"/>
      <c r="P34" s="7" t="n"/>
      <c r="Q34" s="7">
        <f>IF(COUNT(N34:P34)=3,N34*O34*P34,"")</f>
        <v/>
      </c>
      <c r="R34" s="8">
        <f>IF(AND(ISNUMBER(J34),ISNUMBER(Q34),J34&gt;0),(J34-Q34)/J34,"")</f>
        <v/>
      </c>
    </row>
    <row r="35">
      <c r="A35" s="6" t="n"/>
      <c r="B35" s="6" t="n"/>
      <c r="C35" s="6" t="n"/>
      <c r="D35" s="6" t="n"/>
      <c r="E35" s="6" t="n"/>
      <c r="F35" s="6" t="n"/>
      <c r="G35" s="7" t="n"/>
      <c r="H35" s="7" t="n"/>
      <c r="I35" s="7" t="n"/>
      <c r="J35" s="7">
        <f>IF(COUNT(G35:I35)=3,G35*H35*I35,"")</f>
        <v/>
      </c>
      <c r="K35" s="6" t="n"/>
      <c r="L35" s="6" t="n"/>
      <c r="M35" s="6" t="n"/>
      <c r="N35" s="7" t="n"/>
      <c r="O35" s="7" t="n"/>
      <c r="P35" s="7" t="n"/>
      <c r="Q35" s="7">
        <f>IF(COUNT(N35:P35)=3,N35*O35*P35,"")</f>
        <v/>
      </c>
      <c r="R35" s="8">
        <f>IF(AND(ISNUMBER(J35),ISNUMBER(Q35),J35&gt;0),(J35-Q35)/J35,"")</f>
        <v/>
      </c>
    </row>
    <row r="36">
      <c r="A36" s="6" t="n"/>
      <c r="B36" s="6" t="n"/>
      <c r="C36" s="6" t="n"/>
      <c r="D36" s="6" t="n"/>
      <c r="E36" s="6" t="n"/>
      <c r="F36" s="6" t="n"/>
      <c r="G36" s="7" t="n"/>
      <c r="H36" s="7" t="n"/>
      <c r="I36" s="7" t="n"/>
      <c r="J36" s="7">
        <f>IF(COUNT(G36:I36)=3,G36*H36*I36,"")</f>
        <v/>
      </c>
      <c r="K36" s="6" t="n"/>
      <c r="L36" s="6" t="n"/>
      <c r="M36" s="6" t="n"/>
      <c r="N36" s="7" t="n"/>
      <c r="O36" s="7" t="n"/>
      <c r="P36" s="7" t="n"/>
      <c r="Q36" s="7">
        <f>IF(COUNT(N36:P36)=3,N36*O36*P36,"")</f>
        <v/>
      </c>
      <c r="R36" s="8">
        <f>IF(AND(ISNUMBER(J36),ISNUMBER(Q36),J36&gt;0),(J36-Q36)/J36,"")</f>
        <v/>
      </c>
    </row>
    <row r="37">
      <c r="A37" s="6" t="n"/>
      <c r="B37" s="6" t="n"/>
      <c r="C37" s="6" t="n"/>
      <c r="D37" s="6" t="n"/>
      <c r="E37" s="6" t="n"/>
      <c r="F37" s="6" t="n"/>
      <c r="G37" s="7" t="n"/>
      <c r="H37" s="7" t="n"/>
      <c r="I37" s="7" t="n"/>
      <c r="J37" s="7">
        <f>IF(COUNT(G37:I37)=3,G37*H37*I37,"")</f>
        <v/>
      </c>
      <c r="K37" s="6" t="n"/>
      <c r="L37" s="6" t="n"/>
      <c r="M37" s="6" t="n"/>
      <c r="N37" s="7" t="n"/>
      <c r="O37" s="7" t="n"/>
      <c r="P37" s="7" t="n"/>
      <c r="Q37" s="7">
        <f>IF(COUNT(N37:P37)=3,N37*O37*P37,"")</f>
        <v/>
      </c>
      <c r="R37" s="8">
        <f>IF(AND(ISNUMBER(J37),ISNUMBER(Q37),J37&gt;0),(J37-Q37)/J37,"")</f>
        <v/>
      </c>
    </row>
    <row r="38">
      <c r="A38" s="6" t="n"/>
      <c r="B38" s="6" t="n"/>
      <c r="C38" s="6" t="n"/>
      <c r="D38" s="6" t="n"/>
      <c r="E38" s="6" t="n"/>
      <c r="F38" s="6" t="n"/>
      <c r="G38" s="7" t="n"/>
      <c r="H38" s="7" t="n"/>
      <c r="I38" s="7" t="n"/>
      <c r="J38" s="7">
        <f>IF(COUNT(G38:I38)=3,G38*H38*I38,"")</f>
        <v/>
      </c>
      <c r="K38" s="6" t="n"/>
      <c r="L38" s="6" t="n"/>
      <c r="M38" s="6" t="n"/>
      <c r="N38" s="7" t="n"/>
      <c r="O38" s="7" t="n"/>
      <c r="P38" s="7" t="n"/>
      <c r="Q38" s="7">
        <f>IF(COUNT(N38:P38)=3,N38*O38*P38,"")</f>
        <v/>
      </c>
      <c r="R38" s="8">
        <f>IF(AND(ISNUMBER(J38),ISNUMBER(Q38),J38&gt;0),(J38-Q38)/J38,"")</f>
        <v/>
      </c>
    </row>
    <row r="39">
      <c r="A39" s="6" t="n"/>
      <c r="B39" s="6" t="n"/>
      <c r="C39" s="6" t="n"/>
      <c r="D39" s="6" t="n"/>
      <c r="E39" s="6" t="n"/>
      <c r="F39" s="6" t="n"/>
      <c r="G39" s="7" t="n"/>
      <c r="H39" s="7" t="n"/>
      <c r="I39" s="7" t="n"/>
      <c r="J39" s="7">
        <f>IF(COUNT(G39:I39)=3,G39*H39*I39,"")</f>
        <v/>
      </c>
      <c r="K39" s="6" t="n"/>
      <c r="L39" s="6" t="n"/>
      <c r="M39" s="6" t="n"/>
      <c r="N39" s="7" t="n"/>
      <c r="O39" s="7" t="n"/>
      <c r="P39" s="7" t="n"/>
      <c r="Q39" s="7">
        <f>IF(COUNT(N39:P39)=3,N39*O39*P39,"")</f>
        <v/>
      </c>
      <c r="R39" s="8">
        <f>IF(AND(ISNUMBER(J39),ISNUMBER(Q39),J39&gt;0),(J39-Q39)/J39,"")</f>
        <v/>
      </c>
    </row>
    <row r="40">
      <c r="A40" s="6" t="n"/>
      <c r="B40" s="6" t="n"/>
      <c r="C40" s="6" t="n"/>
      <c r="D40" s="6" t="n"/>
      <c r="E40" s="6" t="n"/>
      <c r="F40" s="6" t="n"/>
      <c r="G40" s="7" t="n"/>
      <c r="H40" s="7" t="n"/>
      <c r="I40" s="7" t="n"/>
      <c r="J40" s="7">
        <f>IF(COUNT(G40:I40)=3,G40*H40*I40,"")</f>
        <v/>
      </c>
      <c r="K40" s="6" t="n"/>
      <c r="L40" s="6" t="n"/>
      <c r="M40" s="6" t="n"/>
      <c r="N40" s="7" t="n"/>
      <c r="O40" s="7" t="n"/>
      <c r="P40" s="7" t="n"/>
      <c r="Q40" s="7">
        <f>IF(COUNT(N40:P40)=3,N40*O40*P40,"")</f>
        <v/>
      </c>
      <c r="R40" s="8">
        <f>IF(AND(ISNUMBER(J40),ISNUMBER(Q40),J40&gt;0),(J40-Q40)/J40,"")</f>
        <v/>
      </c>
    </row>
    <row r="41">
      <c r="A41" s="6" t="n"/>
      <c r="B41" s="6" t="n"/>
      <c r="C41" s="6" t="n"/>
      <c r="D41" s="6" t="n"/>
      <c r="E41" s="6" t="n"/>
      <c r="F41" s="6" t="n"/>
      <c r="G41" s="7" t="n"/>
      <c r="H41" s="7" t="n"/>
      <c r="I41" s="7" t="n"/>
      <c r="J41" s="7">
        <f>IF(COUNT(G41:I41)=3,G41*H41*I41,"")</f>
        <v/>
      </c>
      <c r="K41" s="6" t="n"/>
      <c r="L41" s="6" t="n"/>
      <c r="M41" s="6" t="n"/>
      <c r="N41" s="7" t="n"/>
      <c r="O41" s="7" t="n"/>
      <c r="P41" s="7" t="n"/>
      <c r="Q41" s="7">
        <f>IF(COUNT(N41:P41)=3,N41*O41*P41,"")</f>
        <v/>
      </c>
      <c r="R41" s="8">
        <f>IF(AND(ISNUMBER(J41),ISNUMBER(Q41),J41&gt;0),(J41-Q41)/J41,"")</f>
        <v/>
      </c>
    </row>
    <row r="42">
      <c r="A42" s="6" t="n"/>
      <c r="B42" s="6" t="n"/>
      <c r="C42" s="6" t="n"/>
      <c r="D42" s="6" t="n"/>
      <c r="E42" s="6" t="n"/>
      <c r="F42" s="6" t="n"/>
      <c r="G42" s="7" t="n"/>
      <c r="H42" s="7" t="n"/>
      <c r="I42" s="7" t="n"/>
      <c r="J42" s="7">
        <f>IF(COUNT(G42:I42)=3,G42*H42*I42,"")</f>
        <v/>
      </c>
      <c r="K42" s="6" t="n"/>
      <c r="L42" s="6" t="n"/>
      <c r="M42" s="6" t="n"/>
      <c r="N42" s="7" t="n"/>
      <c r="O42" s="7" t="n"/>
      <c r="P42" s="7" t="n"/>
      <c r="Q42" s="7">
        <f>IF(COUNT(N42:P42)=3,N42*O42*P42,"")</f>
        <v/>
      </c>
      <c r="R42" s="8">
        <f>IF(AND(ISNUMBER(J42),ISNUMBER(Q42),J42&gt;0),(J42-Q42)/J42,"")</f>
        <v/>
      </c>
    </row>
    <row r="43">
      <c r="A43" s="6" t="n"/>
      <c r="B43" s="6" t="n"/>
      <c r="C43" s="6" t="n"/>
      <c r="D43" s="6" t="n"/>
      <c r="E43" s="6" t="n"/>
      <c r="F43" s="6" t="n"/>
      <c r="G43" s="7" t="n"/>
      <c r="H43" s="7" t="n"/>
      <c r="I43" s="7" t="n"/>
      <c r="J43" s="7">
        <f>IF(COUNT(G43:I43)=3,G43*H43*I43,"")</f>
        <v/>
      </c>
      <c r="K43" s="6" t="n"/>
      <c r="L43" s="6" t="n"/>
      <c r="M43" s="6" t="n"/>
      <c r="N43" s="7" t="n"/>
      <c r="O43" s="7" t="n"/>
      <c r="P43" s="7" t="n"/>
      <c r="Q43" s="7">
        <f>IF(COUNT(N43:P43)=3,N43*O43*P43,"")</f>
        <v/>
      </c>
      <c r="R43" s="8">
        <f>IF(AND(ISNUMBER(J43),ISNUMBER(Q43),J43&gt;0),(J43-Q43)/J43,"")</f>
        <v/>
      </c>
    </row>
    <row r="44">
      <c r="A44" s="6" t="n"/>
      <c r="B44" s="6" t="n"/>
      <c r="C44" s="6" t="n"/>
      <c r="D44" s="6" t="n"/>
      <c r="E44" s="6" t="n"/>
      <c r="F44" s="6" t="n"/>
      <c r="G44" s="7" t="n"/>
      <c r="H44" s="7" t="n"/>
      <c r="I44" s="7" t="n"/>
      <c r="J44" s="7">
        <f>IF(COUNT(G44:I44)=3,G44*H44*I44,"")</f>
        <v/>
      </c>
      <c r="K44" s="6" t="n"/>
      <c r="L44" s="6" t="n"/>
      <c r="M44" s="6" t="n"/>
      <c r="N44" s="7" t="n"/>
      <c r="O44" s="7" t="n"/>
      <c r="P44" s="7" t="n"/>
      <c r="Q44" s="7">
        <f>IF(COUNT(N44:P44)=3,N44*O44*P44,"")</f>
        <v/>
      </c>
      <c r="R44" s="8">
        <f>IF(AND(ISNUMBER(J44),ISNUMBER(Q44),J44&gt;0),(J44-Q44)/J44,"")</f>
        <v/>
      </c>
    </row>
    <row r="45">
      <c r="A45" s="6" t="n"/>
      <c r="B45" s="6" t="n"/>
      <c r="C45" s="6" t="n"/>
      <c r="D45" s="6" t="n"/>
      <c r="E45" s="6" t="n"/>
      <c r="F45" s="6" t="n"/>
      <c r="G45" s="7" t="n"/>
      <c r="H45" s="7" t="n"/>
      <c r="I45" s="7" t="n"/>
      <c r="J45" s="7">
        <f>IF(COUNT(G45:I45)=3,G45*H45*I45,"")</f>
        <v/>
      </c>
      <c r="K45" s="6" t="n"/>
      <c r="L45" s="6" t="n"/>
      <c r="M45" s="6" t="n"/>
      <c r="N45" s="7" t="n"/>
      <c r="O45" s="7" t="n"/>
      <c r="P45" s="7" t="n"/>
      <c r="Q45" s="7">
        <f>IF(COUNT(N45:P45)=3,N45*O45*P45,"")</f>
        <v/>
      </c>
      <c r="R45" s="8">
        <f>IF(AND(ISNUMBER(J45),ISNUMBER(Q45),J45&gt;0),(J45-Q45)/J45,"")</f>
        <v/>
      </c>
    </row>
    <row r="46">
      <c r="A46" s="6" t="n"/>
      <c r="B46" s="6" t="n"/>
      <c r="C46" s="6" t="n"/>
      <c r="D46" s="6" t="n"/>
      <c r="E46" s="6" t="n"/>
      <c r="F46" s="6" t="n"/>
      <c r="G46" s="7" t="n"/>
      <c r="H46" s="7" t="n"/>
      <c r="I46" s="7" t="n"/>
      <c r="J46" s="7">
        <f>IF(COUNT(G46:I46)=3,G46*H46*I46,"")</f>
        <v/>
      </c>
      <c r="K46" s="6" t="n"/>
      <c r="L46" s="6" t="n"/>
      <c r="M46" s="6" t="n"/>
      <c r="N46" s="7" t="n"/>
      <c r="O46" s="7" t="n"/>
      <c r="P46" s="7" t="n"/>
      <c r="Q46" s="7">
        <f>IF(COUNT(N46:P46)=3,N46*O46*P46,"")</f>
        <v/>
      </c>
      <c r="R46" s="8">
        <f>IF(AND(ISNUMBER(J46),ISNUMBER(Q46),J46&gt;0),(J46-Q46)/J46,"")</f>
        <v/>
      </c>
    </row>
    <row r="47">
      <c r="A47" s="6" t="n"/>
      <c r="B47" s="6" t="n"/>
      <c r="C47" s="6" t="n"/>
      <c r="D47" s="6" t="n"/>
      <c r="E47" s="6" t="n"/>
      <c r="F47" s="6" t="n"/>
      <c r="G47" s="7" t="n"/>
      <c r="H47" s="7" t="n"/>
      <c r="I47" s="7" t="n"/>
      <c r="J47" s="7">
        <f>IF(COUNT(G47:I47)=3,G47*H47*I47,"")</f>
        <v/>
      </c>
      <c r="K47" s="6" t="n"/>
      <c r="L47" s="6" t="n"/>
      <c r="M47" s="6" t="n"/>
      <c r="N47" s="7" t="n"/>
      <c r="O47" s="7" t="n"/>
      <c r="P47" s="7" t="n"/>
      <c r="Q47" s="7">
        <f>IF(COUNT(N47:P47)=3,N47*O47*P47,"")</f>
        <v/>
      </c>
      <c r="R47" s="8">
        <f>IF(AND(ISNUMBER(J47),ISNUMBER(Q47),J47&gt;0),(J47-Q47)/J47,"")</f>
        <v/>
      </c>
    </row>
    <row r="48">
      <c r="A48" s="6" t="n"/>
      <c r="B48" s="6" t="n"/>
      <c r="C48" s="6" t="n"/>
      <c r="D48" s="6" t="n"/>
      <c r="E48" s="6" t="n"/>
      <c r="F48" s="6" t="n"/>
      <c r="G48" s="7" t="n"/>
      <c r="H48" s="7" t="n"/>
      <c r="I48" s="7" t="n"/>
      <c r="J48" s="7">
        <f>IF(COUNT(G48:I48)=3,G48*H48*I48,"")</f>
        <v/>
      </c>
      <c r="K48" s="6" t="n"/>
      <c r="L48" s="6" t="n"/>
      <c r="M48" s="6" t="n"/>
      <c r="N48" s="7" t="n"/>
      <c r="O48" s="7" t="n"/>
      <c r="P48" s="7" t="n"/>
      <c r="Q48" s="7">
        <f>IF(COUNT(N48:P48)=3,N48*O48*P48,"")</f>
        <v/>
      </c>
      <c r="R48" s="8">
        <f>IF(AND(ISNUMBER(J48),ISNUMBER(Q48),J48&gt;0),(J48-Q48)/J48,"")</f>
        <v/>
      </c>
    </row>
    <row r="49">
      <c r="A49" s="6" t="n"/>
      <c r="B49" s="6" t="n"/>
      <c r="C49" s="6" t="n"/>
      <c r="D49" s="6" t="n"/>
      <c r="E49" s="6" t="n"/>
      <c r="F49" s="6" t="n"/>
      <c r="G49" s="7" t="n"/>
      <c r="H49" s="7" t="n"/>
      <c r="I49" s="7" t="n"/>
      <c r="J49" s="7">
        <f>IF(COUNT(G49:I49)=3,G49*H49*I49,"")</f>
        <v/>
      </c>
      <c r="K49" s="6" t="n"/>
      <c r="L49" s="6" t="n"/>
      <c r="M49" s="6" t="n"/>
      <c r="N49" s="7" t="n"/>
      <c r="O49" s="7" t="n"/>
      <c r="P49" s="7" t="n"/>
      <c r="Q49" s="7">
        <f>IF(COUNT(N49:P49)=3,N49*O49*P49,"")</f>
        <v/>
      </c>
      <c r="R49" s="8">
        <f>IF(AND(ISNUMBER(J49),ISNUMBER(Q49),J49&gt;0),(J49-Q49)/J49,"")</f>
        <v/>
      </c>
    </row>
    <row r="50">
      <c r="A50" s="6" t="n"/>
      <c r="B50" s="6" t="n"/>
      <c r="C50" s="6" t="n"/>
      <c r="D50" s="6" t="n"/>
      <c r="E50" s="6" t="n"/>
      <c r="F50" s="6" t="n"/>
      <c r="G50" s="7" t="n"/>
      <c r="H50" s="7" t="n"/>
      <c r="I50" s="7" t="n"/>
      <c r="J50" s="7">
        <f>IF(COUNT(G50:I50)=3,G50*H50*I50,"")</f>
        <v/>
      </c>
      <c r="K50" s="6" t="n"/>
      <c r="L50" s="6" t="n"/>
      <c r="M50" s="6" t="n"/>
      <c r="N50" s="7" t="n"/>
      <c r="O50" s="7" t="n"/>
      <c r="P50" s="7" t="n"/>
      <c r="Q50" s="7">
        <f>IF(COUNT(N50:P50)=3,N50*O50*P50,"")</f>
        <v/>
      </c>
      <c r="R50" s="8">
        <f>IF(AND(ISNUMBER(J50),ISNUMBER(Q50),J50&gt;0),(J50-Q50)/J50,"")</f>
        <v/>
      </c>
    </row>
    <row r="51">
      <c r="A51" s="6" t="n"/>
      <c r="B51" s="6" t="n"/>
      <c r="C51" s="6" t="n"/>
      <c r="D51" s="6" t="n"/>
      <c r="E51" s="6" t="n"/>
      <c r="F51" s="6" t="n"/>
      <c r="G51" s="7" t="n"/>
      <c r="H51" s="7" t="n"/>
      <c r="I51" s="7" t="n"/>
      <c r="J51" s="7">
        <f>IF(COUNT(G51:I51)=3,G51*H51*I51,"")</f>
        <v/>
      </c>
      <c r="K51" s="6" t="n"/>
      <c r="L51" s="6" t="n"/>
      <c r="M51" s="6" t="n"/>
      <c r="N51" s="7" t="n"/>
      <c r="O51" s="7" t="n"/>
      <c r="P51" s="7" t="n"/>
      <c r="Q51" s="7">
        <f>IF(COUNT(N51:P51)=3,N51*O51*P51,"")</f>
        <v/>
      </c>
      <c r="R51" s="8">
        <f>IF(AND(ISNUMBER(J51),ISNUMBER(Q51),J51&gt;0),(J51-Q51)/J51,"")</f>
        <v/>
      </c>
    </row>
    <row r="52">
      <c r="A52" s="6" t="n"/>
      <c r="B52" s="6" t="n"/>
      <c r="C52" s="6" t="n"/>
      <c r="D52" s="6" t="n"/>
      <c r="E52" s="6" t="n"/>
      <c r="F52" s="6" t="n"/>
      <c r="G52" s="7" t="n"/>
      <c r="H52" s="7" t="n"/>
      <c r="I52" s="7" t="n"/>
      <c r="J52" s="7">
        <f>IF(COUNT(G52:I52)=3,G52*H52*I52,"")</f>
        <v/>
      </c>
      <c r="K52" s="6" t="n"/>
      <c r="L52" s="6" t="n"/>
      <c r="M52" s="6" t="n"/>
      <c r="N52" s="7" t="n"/>
      <c r="O52" s="7" t="n"/>
      <c r="P52" s="7" t="n"/>
      <c r="Q52" s="7">
        <f>IF(COUNT(N52:P52)=3,N52*O52*P52,"")</f>
        <v/>
      </c>
      <c r="R52" s="8">
        <f>IF(AND(ISNUMBER(J52),ISNUMBER(Q52),J52&gt;0),(J52-Q52)/J52,"")</f>
        <v/>
      </c>
    </row>
    <row r="53">
      <c r="A53" s="6" t="n"/>
      <c r="B53" s="6" t="n"/>
      <c r="C53" s="6" t="n"/>
      <c r="D53" s="6" t="n"/>
      <c r="E53" s="6" t="n"/>
      <c r="F53" s="6" t="n"/>
      <c r="G53" s="7" t="n"/>
      <c r="H53" s="7" t="n"/>
      <c r="I53" s="7" t="n"/>
      <c r="J53" s="7">
        <f>IF(COUNT(G53:I53)=3,G53*H53*I53,"")</f>
        <v/>
      </c>
      <c r="K53" s="6" t="n"/>
      <c r="L53" s="6" t="n"/>
      <c r="M53" s="6" t="n"/>
      <c r="N53" s="7" t="n"/>
      <c r="O53" s="7" t="n"/>
      <c r="P53" s="7" t="n"/>
      <c r="Q53" s="7">
        <f>IF(COUNT(N53:P53)=3,N53*O53*P53,"")</f>
        <v/>
      </c>
      <c r="R53" s="8">
        <f>IF(AND(ISNUMBER(J53),ISNUMBER(Q53),J53&gt;0),(J53-Q53)/J53,"")</f>
        <v/>
      </c>
    </row>
    <row r="54">
      <c r="A54" s="6" t="n"/>
      <c r="B54" s="6" t="n"/>
      <c r="C54" s="6" t="n"/>
      <c r="D54" s="6" t="n"/>
      <c r="E54" s="6" t="n"/>
      <c r="F54" s="6" t="n"/>
      <c r="G54" s="7" t="n"/>
      <c r="H54" s="7" t="n"/>
      <c r="I54" s="7" t="n"/>
      <c r="J54" s="7">
        <f>IF(COUNT(G54:I54)=3,G54*H54*I54,"")</f>
        <v/>
      </c>
      <c r="K54" s="6" t="n"/>
      <c r="L54" s="6" t="n"/>
      <c r="M54" s="6" t="n"/>
      <c r="N54" s="7" t="n"/>
      <c r="O54" s="7" t="n"/>
      <c r="P54" s="7" t="n"/>
      <c r="Q54" s="7">
        <f>IF(COUNT(N54:P54)=3,N54*O54*P54,"")</f>
        <v/>
      </c>
      <c r="R54" s="8">
        <f>IF(AND(ISNUMBER(J54),ISNUMBER(Q54),J54&gt;0),(J54-Q54)/J54,"")</f>
        <v/>
      </c>
    </row>
    <row r="55">
      <c r="A55" s="6" t="n"/>
      <c r="B55" s="6" t="n"/>
      <c r="C55" s="6" t="n"/>
      <c r="D55" s="6" t="n"/>
      <c r="E55" s="6" t="n"/>
      <c r="F55" s="6" t="n"/>
      <c r="G55" s="7" t="n"/>
      <c r="H55" s="7" t="n"/>
      <c r="I55" s="7" t="n"/>
      <c r="J55" s="7">
        <f>IF(COUNT(G55:I55)=3,G55*H55*I55,"")</f>
        <v/>
      </c>
      <c r="K55" s="6" t="n"/>
      <c r="L55" s="6" t="n"/>
      <c r="M55" s="6" t="n"/>
      <c r="N55" s="7" t="n"/>
      <c r="O55" s="7" t="n"/>
      <c r="P55" s="7" t="n"/>
      <c r="Q55" s="7">
        <f>IF(COUNT(N55:P55)=3,N55*O55*P55,"")</f>
        <v/>
      </c>
      <c r="R55" s="8">
        <f>IF(AND(ISNUMBER(J55),ISNUMBER(Q55),J55&gt;0),(J55-Q55)/J55,"")</f>
        <v/>
      </c>
    </row>
    <row r="56">
      <c r="A56" s="6" t="n"/>
      <c r="B56" s="6" t="n"/>
      <c r="C56" s="6" t="n"/>
      <c r="D56" s="6" t="n"/>
      <c r="E56" s="6" t="n"/>
      <c r="F56" s="6" t="n"/>
      <c r="G56" s="7" t="n"/>
      <c r="H56" s="7" t="n"/>
      <c r="I56" s="7" t="n"/>
      <c r="J56" s="7">
        <f>IF(COUNT(G56:I56)=3,G56*H56*I56,"")</f>
        <v/>
      </c>
      <c r="K56" s="6" t="n"/>
      <c r="L56" s="6" t="n"/>
      <c r="M56" s="6" t="n"/>
      <c r="N56" s="7" t="n"/>
      <c r="O56" s="7" t="n"/>
      <c r="P56" s="7" t="n"/>
      <c r="Q56" s="7">
        <f>IF(COUNT(N56:P56)=3,N56*O56*P56,"")</f>
        <v/>
      </c>
      <c r="R56" s="8">
        <f>IF(AND(ISNUMBER(J56),ISNUMBER(Q56),J56&gt;0),(J56-Q56)/J56,"")</f>
        <v/>
      </c>
    </row>
    <row r="57">
      <c r="A57" s="6" t="n"/>
      <c r="B57" s="6" t="n"/>
      <c r="C57" s="6" t="n"/>
      <c r="D57" s="6" t="n"/>
      <c r="E57" s="6" t="n"/>
      <c r="F57" s="6" t="n"/>
      <c r="G57" s="7" t="n"/>
      <c r="H57" s="7" t="n"/>
      <c r="I57" s="7" t="n"/>
      <c r="J57" s="7">
        <f>IF(COUNT(G57:I57)=3,G57*H57*I57,"")</f>
        <v/>
      </c>
      <c r="K57" s="6" t="n"/>
      <c r="L57" s="6" t="n"/>
      <c r="M57" s="6" t="n"/>
      <c r="N57" s="7" t="n"/>
      <c r="O57" s="7" t="n"/>
      <c r="P57" s="7" t="n"/>
      <c r="Q57" s="7">
        <f>IF(COUNT(N57:P57)=3,N57*O57*P57,"")</f>
        <v/>
      </c>
      <c r="R57" s="8">
        <f>IF(AND(ISNUMBER(J57),ISNUMBER(Q57),J57&gt;0),(J57-Q57)/J57,"")</f>
        <v/>
      </c>
    </row>
    <row r="58">
      <c r="A58" s="6" t="n"/>
      <c r="B58" s="6" t="n"/>
      <c r="C58" s="6" t="n"/>
      <c r="D58" s="6" t="n"/>
      <c r="E58" s="6" t="n"/>
      <c r="F58" s="6" t="n"/>
      <c r="G58" s="7" t="n"/>
      <c r="H58" s="7" t="n"/>
      <c r="I58" s="7" t="n"/>
      <c r="J58" s="7">
        <f>IF(COUNT(G58:I58)=3,G58*H58*I58,"")</f>
        <v/>
      </c>
      <c r="K58" s="6" t="n"/>
      <c r="L58" s="6" t="n"/>
      <c r="M58" s="6" t="n"/>
      <c r="N58" s="7" t="n"/>
      <c r="O58" s="7" t="n"/>
      <c r="P58" s="7" t="n"/>
      <c r="Q58" s="7">
        <f>IF(COUNT(N58:P58)=3,N58*O58*P58,"")</f>
        <v/>
      </c>
      <c r="R58" s="8">
        <f>IF(AND(ISNUMBER(J58),ISNUMBER(Q58),J58&gt;0),(J58-Q58)/J58,"")</f>
        <v/>
      </c>
    </row>
    <row r="59">
      <c r="A59" s="6" t="n"/>
      <c r="B59" s="6" t="n"/>
      <c r="C59" s="6" t="n"/>
      <c r="D59" s="6" t="n"/>
      <c r="E59" s="6" t="n"/>
      <c r="F59" s="6" t="n"/>
      <c r="G59" s="7" t="n"/>
      <c r="H59" s="7" t="n"/>
      <c r="I59" s="7" t="n"/>
      <c r="J59" s="7">
        <f>IF(COUNT(G59:I59)=3,G59*H59*I59,"")</f>
        <v/>
      </c>
      <c r="K59" s="6" t="n"/>
      <c r="L59" s="6" t="n"/>
      <c r="M59" s="6" t="n"/>
      <c r="N59" s="7" t="n"/>
      <c r="O59" s="7" t="n"/>
      <c r="P59" s="7" t="n"/>
      <c r="Q59" s="7">
        <f>IF(COUNT(N59:P59)=3,N59*O59*P59,"")</f>
        <v/>
      </c>
      <c r="R59" s="8">
        <f>IF(AND(ISNUMBER(J59),ISNUMBER(Q59),J59&gt;0),(J59-Q59)/J59,"")</f>
        <v/>
      </c>
    </row>
    <row r="60">
      <c r="A60" s="6" t="n"/>
      <c r="B60" s="6" t="n"/>
      <c r="C60" s="6" t="n"/>
      <c r="D60" s="6" t="n"/>
      <c r="E60" s="6" t="n"/>
      <c r="F60" s="6" t="n"/>
      <c r="G60" s="7" t="n"/>
      <c r="H60" s="7" t="n"/>
      <c r="I60" s="7" t="n"/>
      <c r="J60" s="7">
        <f>IF(COUNT(G60:I60)=3,G60*H60*I60,"")</f>
        <v/>
      </c>
      <c r="K60" s="6" t="n"/>
      <c r="L60" s="6" t="n"/>
      <c r="M60" s="6" t="n"/>
      <c r="N60" s="7" t="n"/>
      <c r="O60" s="7" t="n"/>
      <c r="P60" s="7" t="n"/>
      <c r="Q60" s="7">
        <f>IF(COUNT(N60:P60)=3,N60*O60*P60,"")</f>
        <v/>
      </c>
      <c r="R60" s="8">
        <f>IF(AND(ISNUMBER(J60),ISNUMBER(Q60),J60&gt;0),(J60-Q60)/J60,"")</f>
        <v/>
      </c>
    </row>
    <row r="61">
      <c r="A61" s="6" t="n"/>
      <c r="B61" s="6" t="n"/>
      <c r="C61" s="6" t="n"/>
      <c r="D61" s="6" t="n"/>
      <c r="E61" s="6" t="n"/>
      <c r="F61" s="6" t="n"/>
      <c r="G61" s="7" t="n"/>
      <c r="H61" s="7" t="n"/>
      <c r="I61" s="7" t="n"/>
      <c r="J61" s="7">
        <f>IF(COUNT(G61:I61)=3,G61*H61*I61,"")</f>
        <v/>
      </c>
      <c r="K61" s="6" t="n"/>
      <c r="L61" s="6" t="n"/>
      <c r="M61" s="6" t="n"/>
      <c r="N61" s="7" t="n"/>
      <c r="O61" s="7" t="n"/>
      <c r="P61" s="7" t="n"/>
      <c r="Q61" s="7">
        <f>IF(COUNT(N61:P61)=3,N61*O61*P61,"")</f>
        <v/>
      </c>
      <c r="R61" s="8">
        <f>IF(AND(ISNUMBER(J61),ISNUMBER(Q61),J61&gt;0),(J61-Q61)/J61,"")</f>
        <v/>
      </c>
    </row>
    <row r="62">
      <c r="A62" s="6" t="n"/>
      <c r="B62" s="6" t="n"/>
      <c r="C62" s="6" t="n"/>
      <c r="D62" s="6" t="n"/>
      <c r="E62" s="6" t="n"/>
      <c r="F62" s="6" t="n"/>
      <c r="G62" s="7" t="n"/>
      <c r="H62" s="7" t="n"/>
      <c r="I62" s="7" t="n"/>
      <c r="J62" s="7">
        <f>IF(COUNT(G62:I62)=3,G62*H62*I62,"")</f>
        <v/>
      </c>
      <c r="K62" s="6" t="n"/>
      <c r="L62" s="6" t="n"/>
      <c r="M62" s="6" t="n"/>
      <c r="N62" s="7" t="n"/>
      <c r="O62" s="7" t="n"/>
      <c r="P62" s="7" t="n"/>
      <c r="Q62" s="7">
        <f>IF(COUNT(N62:P62)=3,N62*O62*P62,"")</f>
        <v/>
      </c>
      <c r="R62" s="8">
        <f>IF(AND(ISNUMBER(J62),ISNUMBER(Q62),J62&gt;0),(J62-Q62)/J62,"")</f>
        <v/>
      </c>
    </row>
    <row r="63">
      <c r="A63" s="6" t="n"/>
      <c r="B63" s="6" t="n"/>
      <c r="C63" s="6" t="n"/>
      <c r="D63" s="6" t="n"/>
      <c r="E63" s="6" t="n"/>
      <c r="F63" s="6" t="n"/>
      <c r="G63" s="7" t="n"/>
      <c r="H63" s="7" t="n"/>
      <c r="I63" s="7" t="n"/>
      <c r="J63" s="7">
        <f>IF(COUNT(G63:I63)=3,G63*H63*I63,"")</f>
        <v/>
      </c>
      <c r="K63" s="6" t="n"/>
      <c r="L63" s="6" t="n"/>
      <c r="M63" s="6" t="n"/>
      <c r="N63" s="7" t="n"/>
      <c r="O63" s="7" t="n"/>
      <c r="P63" s="7" t="n"/>
      <c r="Q63" s="7">
        <f>IF(COUNT(N63:P63)=3,N63*O63*P63,"")</f>
        <v/>
      </c>
      <c r="R63" s="8">
        <f>IF(AND(ISNUMBER(J63),ISNUMBER(Q63),J63&gt;0),(J63-Q63)/J63,"")</f>
        <v/>
      </c>
    </row>
    <row r="64">
      <c r="A64" s="6" t="n"/>
      <c r="B64" s="6" t="n"/>
      <c r="C64" s="6" t="n"/>
      <c r="D64" s="6" t="n"/>
      <c r="E64" s="6" t="n"/>
      <c r="F64" s="6" t="n"/>
      <c r="G64" s="7" t="n"/>
      <c r="H64" s="7" t="n"/>
      <c r="I64" s="7" t="n"/>
      <c r="J64" s="7">
        <f>IF(COUNT(G64:I64)=3,G64*H64*I64,"")</f>
        <v/>
      </c>
      <c r="K64" s="6" t="n"/>
      <c r="L64" s="6" t="n"/>
      <c r="M64" s="6" t="n"/>
      <c r="N64" s="7" t="n"/>
      <c r="O64" s="7" t="n"/>
      <c r="P64" s="7" t="n"/>
      <c r="Q64" s="7">
        <f>IF(COUNT(N64:P64)=3,N64*O64*P64,"")</f>
        <v/>
      </c>
      <c r="R64" s="8">
        <f>IF(AND(ISNUMBER(J64),ISNUMBER(Q64),J64&gt;0),(J64-Q64)/J64,"")</f>
        <v/>
      </c>
    </row>
    <row r="65">
      <c r="A65" s="6" t="n"/>
      <c r="B65" s="6" t="n"/>
      <c r="C65" s="6" t="n"/>
      <c r="D65" s="6" t="n"/>
      <c r="E65" s="6" t="n"/>
      <c r="F65" s="6" t="n"/>
      <c r="G65" s="7" t="n"/>
      <c r="H65" s="7" t="n"/>
      <c r="I65" s="7" t="n"/>
      <c r="J65" s="7">
        <f>IF(COUNT(G65:I65)=3,G65*H65*I65,"")</f>
        <v/>
      </c>
      <c r="K65" s="6" t="n"/>
      <c r="L65" s="6" t="n"/>
      <c r="M65" s="6" t="n"/>
      <c r="N65" s="7" t="n"/>
      <c r="O65" s="7" t="n"/>
      <c r="P65" s="7" t="n"/>
      <c r="Q65" s="7">
        <f>IF(COUNT(N65:P65)=3,N65*O65*P65,"")</f>
        <v/>
      </c>
      <c r="R65" s="8">
        <f>IF(AND(ISNUMBER(J65),ISNUMBER(Q65),J65&gt;0),(J65-Q65)/J65,"")</f>
        <v/>
      </c>
    </row>
    <row r="66">
      <c r="A66" s="6" t="n"/>
      <c r="B66" s="6" t="n"/>
      <c r="C66" s="6" t="n"/>
      <c r="D66" s="6" t="n"/>
      <c r="E66" s="6" t="n"/>
      <c r="F66" s="6" t="n"/>
      <c r="G66" s="7" t="n"/>
      <c r="H66" s="7" t="n"/>
      <c r="I66" s="7" t="n"/>
      <c r="J66" s="7">
        <f>IF(COUNT(G66:I66)=3,G66*H66*I66,"")</f>
        <v/>
      </c>
      <c r="K66" s="6" t="n"/>
      <c r="L66" s="6" t="n"/>
      <c r="M66" s="6" t="n"/>
      <c r="N66" s="7" t="n"/>
      <c r="O66" s="7" t="n"/>
      <c r="P66" s="7" t="n"/>
      <c r="Q66" s="7">
        <f>IF(COUNT(N66:P66)=3,N66*O66*P66,"")</f>
        <v/>
      </c>
      <c r="R66" s="8">
        <f>IF(AND(ISNUMBER(J66),ISNUMBER(Q66),J66&gt;0),(J66-Q66)/J66,"")</f>
        <v/>
      </c>
    </row>
    <row r="67">
      <c r="A67" s="6" t="n"/>
      <c r="B67" s="6" t="n"/>
      <c r="C67" s="6" t="n"/>
      <c r="D67" s="6" t="n"/>
      <c r="E67" s="6" t="n"/>
      <c r="F67" s="6" t="n"/>
      <c r="G67" s="7" t="n"/>
      <c r="H67" s="7" t="n"/>
      <c r="I67" s="7" t="n"/>
      <c r="J67" s="7">
        <f>IF(COUNT(G67:I67)=3,G67*H67*I67,"")</f>
        <v/>
      </c>
      <c r="K67" s="6" t="n"/>
      <c r="L67" s="6" t="n"/>
      <c r="M67" s="6" t="n"/>
      <c r="N67" s="7" t="n"/>
      <c r="O67" s="7" t="n"/>
      <c r="P67" s="7" t="n"/>
      <c r="Q67" s="7">
        <f>IF(COUNT(N67:P67)=3,N67*O67*P67,"")</f>
        <v/>
      </c>
      <c r="R67" s="8">
        <f>IF(AND(ISNUMBER(J67),ISNUMBER(Q67),J67&gt;0),(J67-Q67)/J67,"")</f>
        <v/>
      </c>
    </row>
    <row r="68">
      <c r="A68" s="6" t="n"/>
      <c r="B68" s="6" t="n"/>
      <c r="C68" s="6" t="n"/>
      <c r="D68" s="6" t="n"/>
      <c r="E68" s="6" t="n"/>
      <c r="F68" s="6" t="n"/>
      <c r="G68" s="7" t="n"/>
      <c r="H68" s="7" t="n"/>
      <c r="I68" s="7" t="n"/>
      <c r="J68" s="7">
        <f>IF(COUNT(G68:I68)=3,G68*H68*I68,"")</f>
        <v/>
      </c>
      <c r="K68" s="6" t="n"/>
      <c r="L68" s="6" t="n"/>
      <c r="M68" s="6" t="n"/>
      <c r="N68" s="7" t="n"/>
      <c r="O68" s="7" t="n"/>
      <c r="P68" s="7" t="n"/>
      <c r="Q68" s="7">
        <f>IF(COUNT(N68:P68)=3,N68*O68*P68,"")</f>
        <v/>
      </c>
      <c r="R68" s="8">
        <f>IF(AND(ISNUMBER(J68),ISNUMBER(Q68),J68&gt;0),(J68-Q68)/J68,"")</f>
        <v/>
      </c>
    </row>
    <row r="69">
      <c r="A69" s="6" t="n"/>
      <c r="B69" s="6" t="n"/>
      <c r="C69" s="6" t="n"/>
      <c r="D69" s="6" t="n"/>
      <c r="E69" s="6" t="n"/>
      <c r="F69" s="6" t="n"/>
      <c r="G69" s="7" t="n"/>
      <c r="H69" s="7" t="n"/>
      <c r="I69" s="7" t="n"/>
      <c r="J69" s="7">
        <f>IF(COUNT(G69:I69)=3,G69*H69*I69,"")</f>
        <v/>
      </c>
      <c r="K69" s="6" t="n"/>
      <c r="L69" s="6" t="n"/>
      <c r="M69" s="6" t="n"/>
      <c r="N69" s="7" t="n"/>
      <c r="O69" s="7" t="n"/>
      <c r="P69" s="7" t="n"/>
      <c r="Q69" s="7">
        <f>IF(COUNT(N69:P69)=3,N69*O69*P69,"")</f>
        <v/>
      </c>
      <c r="R69" s="8">
        <f>IF(AND(ISNUMBER(J69),ISNUMBER(Q69),J69&gt;0),(J69-Q69)/J69,"")</f>
        <v/>
      </c>
    </row>
    <row r="70">
      <c r="A70" s="6" t="n"/>
      <c r="B70" s="6" t="n"/>
      <c r="C70" s="6" t="n"/>
      <c r="D70" s="6" t="n"/>
      <c r="E70" s="6" t="n"/>
      <c r="F70" s="6" t="n"/>
      <c r="G70" s="7" t="n"/>
      <c r="H70" s="7" t="n"/>
      <c r="I70" s="7" t="n"/>
      <c r="J70" s="7">
        <f>IF(COUNT(G70:I70)=3,G70*H70*I70,"")</f>
        <v/>
      </c>
      <c r="K70" s="6" t="n"/>
      <c r="L70" s="6" t="n"/>
      <c r="M70" s="6" t="n"/>
      <c r="N70" s="7" t="n"/>
      <c r="O70" s="7" t="n"/>
      <c r="P70" s="7" t="n"/>
      <c r="Q70" s="7">
        <f>IF(COUNT(N70:P70)=3,N70*O70*P70,"")</f>
        <v/>
      </c>
      <c r="R70" s="8">
        <f>IF(AND(ISNUMBER(J70),ISNUMBER(Q70),J70&gt;0),(J70-Q70)/J70,"")</f>
        <v/>
      </c>
    </row>
    <row r="71">
      <c r="A71" s="6" t="n"/>
      <c r="B71" s="6" t="n"/>
      <c r="C71" s="6" t="n"/>
      <c r="D71" s="6" t="n"/>
      <c r="E71" s="6" t="n"/>
      <c r="F71" s="6" t="n"/>
      <c r="G71" s="7" t="n"/>
      <c r="H71" s="7" t="n"/>
      <c r="I71" s="7" t="n"/>
      <c r="J71" s="7">
        <f>IF(COUNT(G71:I71)=3,G71*H71*I71,"")</f>
        <v/>
      </c>
      <c r="K71" s="6" t="n"/>
      <c r="L71" s="6" t="n"/>
      <c r="M71" s="6" t="n"/>
      <c r="N71" s="7" t="n"/>
      <c r="O71" s="7" t="n"/>
      <c r="P71" s="7" t="n"/>
      <c r="Q71" s="7">
        <f>IF(COUNT(N71:P71)=3,N71*O71*P71,"")</f>
        <v/>
      </c>
      <c r="R71" s="8">
        <f>IF(AND(ISNUMBER(J71),ISNUMBER(Q71),J71&gt;0),(J71-Q71)/J71,"")</f>
        <v/>
      </c>
    </row>
    <row r="72">
      <c r="A72" s="6" t="n"/>
      <c r="B72" s="6" t="n"/>
      <c r="C72" s="6" t="n"/>
      <c r="D72" s="6" t="n"/>
      <c r="E72" s="6" t="n"/>
      <c r="F72" s="6" t="n"/>
      <c r="G72" s="7" t="n"/>
      <c r="H72" s="7" t="n"/>
      <c r="I72" s="7" t="n"/>
      <c r="J72" s="7">
        <f>IF(COUNT(G72:I72)=3,G72*H72*I72,"")</f>
        <v/>
      </c>
      <c r="K72" s="6" t="n"/>
      <c r="L72" s="6" t="n"/>
      <c r="M72" s="6" t="n"/>
      <c r="N72" s="7" t="n"/>
      <c r="O72" s="7" t="n"/>
      <c r="P72" s="7" t="n"/>
      <c r="Q72" s="7">
        <f>IF(COUNT(N72:P72)=3,N72*O72*P72,"")</f>
        <v/>
      </c>
      <c r="R72" s="8">
        <f>IF(AND(ISNUMBER(J72),ISNUMBER(Q72),J72&gt;0),(J72-Q72)/J72,"")</f>
        <v/>
      </c>
    </row>
    <row r="73">
      <c r="A73" s="6" t="n"/>
      <c r="B73" s="6" t="n"/>
      <c r="C73" s="6" t="n"/>
      <c r="D73" s="6" t="n"/>
      <c r="E73" s="6" t="n"/>
      <c r="F73" s="6" t="n"/>
      <c r="G73" s="7" t="n"/>
      <c r="H73" s="7" t="n"/>
      <c r="I73" s="7" t="n"/>
      <c r="J73" s="7">
        <f>IF(COUNT(G73:I73)=3,G73*H73*I73,"")</f>
        <v/>
      </c>
      <c r="K73" s="6" t="n"/>
      <c r="L73" s="6" t="n"/>
      <c r="M73" s="6" t="n"/>
      <c r="N73" s="7" t="n"/>
      <c r="O73" s="7" t="n"/>
      <c r="P73" s="7" t="n"/>
      <c r="Q73" s="7">
        <f>IF(COUNT(N73:P73)=3,N73*O73*P73,"")</f>
        <v/>
      </c>
      <c r="R73" s="8">
        <f>IF(AND(ISNUMBER(J73),ISNUMBER(Q73),J73&gt;0),(J73-Q73)/J73,"")</f>
        <v/>
      </c>
    </row>
    <row r="74">
      <c r="A74" s="6" t="n"/>
      <c r="B74" s="6" t="n"/>
      <c r="C74" s="6" t="n"/>
      <c r="D74" s="6" t="n"/>
      <c r="E74" s="6" t="n"/>
      <c r="F74" s="6" t="n"/>
      <c r="G74" s="7" t="n"/>
      <c r="H74" s="7" t="n"/>
      <c r="I74" s="7" t="n"/>
      <c r="J74" s="7">
        <f>IF(COUNT(G74:I74)=3,G74*H74*I74,"")</f>
        <v/>
      </c>
      <c r="K74" s="6" t="n"/>
      <c r="L74" s="6" t="n"/>
      <c r="M74" s="6" t="n"/>
      <c r="N74" s="7" t="n"/>
      <c r="O74" s="7" t="n"/>
      <c r="P74" s="7" t="n"/>
      <c r="Q74" s="7">
        <f>IF(COUNT(N74:P74)=3,N74*O74*P74,"")</f>
        <v/>
      </c>
      <c r="R74" s="8">
        <f>IF(AND(ISNUMBER(J74),ISNUMBER(Q74),J74&gt;0),(J74-Q74)/J74,"")</f>
        <v/>
      </c>
    </row>
    <row r="75">
      <c r="A75" s="6" t="n"/>
      <c r="B75" s="6" t="n"/>
      <c r="C75" s="6" t="n"/>
      <c r="D75" s="6" t="n"/>
      <c r="E75" s="6" t="n"/>
      <c r="F75" s="6" t="n"/>
      <c r="G75" s="7" t="n"/>
      <c r="H75" s="7" t="n"/>
      <c r="I75" s="7" t="n"/>
      <c r="J75" s="7">
        <f>IF(COUNT(G75:I75)=3,G75*H75*I75,"")</f>
        <v/>
      </c>
      <c r="K75" s="6" t="n"/>
      <c r="L75" s="6" t="n"/>
      <c r="M75" s="6" t="n"/>
      <c r="N75" s="7" t="n"/>
      <c r="O75" s="7" t="n"/>
      <c r="P75" s="7" t="n"/>
      <c r="Q75" s="7">
        <f>IF(COUNT(N75:P75)=3,N75*O75*P75,"")</f>
        <v/>
      </c>
      <c r="R75" s="8">
        <f>IF(AND(ISNUMBER(J75),ISNUMBER(Q75),J75&gt;0),(J75-Q75)/J75,"")</f>
        <v/>
      </c>
    </row>
    <row r="76">
      <c r="A76" s="6" t="n"/>
      <c r="B76" s="6" t="n"/>
      <c r="C76" s="6" t="n"/>
      <c r="D76" s="6" t="n"/>
      <c r="E76" s="6" t="n"/>
      <c r="F76" s="6" t="n"/>
      <c r="G76" s="7" t="n"/>
      <c r="H76" s="7" t="n"/>
      <c r="I76" s="7" t="n"/>
      <c r="J76" s="7">
        <f>IF(COUNT(G76:I76)=3,G76*H76*I76,"")</f>
        <v/>
      </c>
      <c r="K76" s="6" t="n"/>
      <c r="L76" s="6" t="n"/>
      <c r="M76" s="6" t="n"/>
      <c r="N76" s="7" t="n"/>
      <c r="O76" s="7" t="n"/>
      <c r="P76" s="7" t="n"/>
      <c r="Q76" s="7">
        <f>IF(COUNT(N76:P76)=3,N76*O76*P76,"")</f>
        <v/>
      </c>
      <c r="R76" s="8">
        <f>IF(AND(ISNUMBER(J76),ISNUMBER(Q76),J76&gt;0),(J76-Q76)/J76,"")</f>
        <v/>
      </c>
    </row>
    <row r="77">
      <c r="A77" s="6" t="n"/>
      <c r="B77" s="6" t="n"/>
      <c r="C77" s="6" t="n"/>
      <c r="D77" s="6" t="n"/>
      <c r="E77" s="6" t="n"/>
      <c r="F77" s="6" t="n"/>
      <c r="G77" s="7" t="n"/>
      <c r="H77" s="7" t="n"/>
      <c r="I77" s="7" t="n"/>
      <c r="J77" s="7">
        <f>IF(COUNT(G77:I77)=3,G77*H77*I77,"")</f>
        <v/>
      </c>
      <c r="K77" s="6" t="n"/>
      <c r="L77" s="6" t="n"/>
      <c r="M77" s="6" t="n"/>
      <c r="N77" s="7" t="n"/>
      <c r="O77" s="7" t="n"/>
      <c r="P77" s="7" t="n"/>
      <c r="Q77" s="7">
        <f>IF(COUNT(N77:P77)=3,N77*O77*P77,"")</f>
        <v/>
      </c>
      <c r="R77" s="8">
        <f>IF(AND(ISNUMBER(J77),ISNUMBER(Q77),J77&gt;0),(J77-Q77)/J77,"")</f>
        <v/>
      </c>
    </row>
    <row r="78">
      <c r="A78" s="6" t="n"/>
      <c r="B78" s="6" t="n"/>
      <c r="C78" s="6" t="n"/>
      <c r="D78" s="6" t="n"/>
      <c r="E78" s="6" t="n"/>
      <c r="F78" s="6" t="n"/>
      <c r="G78" s="7" t="n"/>
      <c r="H78" s="7" t="n"/>
      <c r="I78" s="7" t="n"/>
      <c r="J78" s="7">
        <f>IF(COUNT(G78:I78)=3,G78*H78*I78,"")</f>
        <v/>
      </c>
      <c r="K78" s="6" t="n"/>
      <c r="L78" s="6" t="n"/>
      <c r="M78" s="6" t="n"/>
      <c r="N78" s="7" t="n"/>
      <c r="O78" s="7" t="n"/>
      <c r="P78" s="7" t="n"/>
      <c r="Q78" s="7">
        <f>IF(COUNT(N78:P78)=3,N78*O78*P78,"")</f>
        <v/>
      </c>
      <c r="R78" s="8">
        <f>IF(AND(ISNUMBER(J78),ISNUMBER(Q78),J78&gt;0),(J78-Q78)/J78,"")</f>
        <v/>
      </c>
    </row>
    <row r="79">
      <c r="A79" s="6" t="n"/>
      <c r="B79" s="6" t="n"/>
      <c r="C79" s="6" t="n"/>
      <c r="D79" s="6" t="n"/>
      <c r="E79" s="6" t="n"/>
      <c r="F79" s="6" t="n"/>
      <c r="G79" s="7" t="n"/>
      <c r="H79" s="7" t="n"/>
      <c r="I79" s="7" t="n"/>
      <c r="J79" s="7">
        <f>IF(COUNT(G79:I79)=3,G79*H79*I79,"")</f>
        <v/>
      </c>
      <c r="K79" s="6" t="n"/>
      <c r="L79" s="6" t="n"/>
      <c r="M79" s="6" t="n"/>
      <c r="N79" s="7" t="n"/>
      <c r="O79" s="7" t="n"/>
      <c r="P79" s="7" t="n"/>
      <c r="Q79" s="7">
        <f>IF(COUNT(N79:P79)=3,N79*O79*P79,"")</f>
        <v/>
      </c>
      <c r="R79" s="8">
        <f>IF(AND(ISNUMBER(J79),ISNUMBER(Q79),J79&gt;0),(J79-Q79)/J79,"")</f>
        <v/>
      </c>
    </row>
    <row r="80">
      <c r="A80" s="6" t="n"/>
      <c r="B80" s="6" t="n"/>
      <c r="C80" s="6" t="n"/>
      <c r="D80" s="6" t="n"/>
      <c r="E80" s="6" t="n"/>
      <c r="F80" s="6" t="n"/>
      <c r="G80" s="7" t="n"/>
      <c r="H80" s="7" t="n"/>
      <c r="I80" s="7" t="n"/>
      <c r="J80" s="7">
        <f>IF(COUNT(G80:I80)=3,G80*H80*I80,"")</f>
        <v/>
      </c>
      <c r="K80" s="6" t="n"/>
      <c r="L80" s="6" t="n"/>
      <c r="M80" s="6" t="n"/>
      <c r="N80" s="7" t="n"/>
      <c r="O80" s="7" t="n"/>
      <c r="P80" s="7" t="n"/>
      <c r="Q80" s="7">
        <f>IF(COUNT(N80:P80)=3,N80*O80*P80,"")</f>
        <v/>
      </c>
      <c r="R80" s="8">
        <f>IF(AND(ISNUMBER(J80),ISNUMBER(Q80),J80&gt;0),(J80-Q80)/J80,"")</f>
        <v/>
      </c>
    </row>
    <row r="81">
      <c r="A81" s="6" t="n"/>
      <c r="B81" s="6" t="n"/>
      <c r="C81" s="6" t="n"/>
      <c r="D81" s="6" t="n"/>
      <c r="E81" s="6" t="n"/>
      <c r="F81" s="6" t="n"/>
      <c r="G81" s="7" t="n"/>
      <c r="H81" s="7" t="n"/>
      <c r="I81" s="7" t="n"/>
      <c r="J81" s="7">
        <f>IF(COUNT(G81:I81)=3,G81*H81*I81,"")</f>
        <v/>
      </c>
      <c r="K81" s="6" t="n"/>
      <c r="L81" s="6" t="n"/>
      <c r="M81" s="6" t="n"/>
      <c r="N81" s="7" t="n"/>
      <c r="O81" s="7" t="n"/>
      <c r="P81" s="7" t="n"/>
      <c r="Q81" s="7">
        <f>IF(COUNT(N81:P81)=3,N81*O81*P81,"")</f>
        <v/>
      </c>
      <c r="R81" s="8">
        <f>IF(AND(ISNUMBER(J81),ISNUMBER(Q81),J81&gt;0),(J81-Q81)/J81,"")</f>
        <v/>
      </c>
    </row>
    <row r="82">
      <c r="A82" s="6" t="n"/>
      <c r="B82" s="6" t="n"/>
      <c r="C82" s="6" t="n"/>
      <c r="D82" s="6" t="n"/>
      <c r="E82" s="6" t="n"/>
      <c r="F82" s="6" t="n"/>
      <c r="G82" s="7" t="n"/>
      <c r="H82" s="7" t="n"/>
      <c r="I82" s="7" t="n"/>
      <c r="J82" s="7">
        <f>IF(COUNT(G82:I82)=3,G82*H82*I82,"")</f>
        <v/>
      </c>
      <c r="K82" s="6" t="n"/>
      <c r="L82" s="6" t="n"/>
      <c r="M82" s="6" t="n"/>
      <c r="N82" s="7" t="n"/>
      <c r="O82" s="7" t="n"/>
      <c r="P82" s="7" t="n"/>
      <c r="Q82" s="7">
        <f>IF(COUNT(N82:P82)=3,N82*O82*P82,"")</f>
        <v/>
      </c>
      <c r="R82" s="8">
        <f>IF(AND(ISNUMBER(J82),ISNUMBER(Q82),J82&gt;0),(J82-Q82)/J82,"")</f>
        <v/>
      </c>
    </row>
    <row r="83">
      <c r="A83" s="6" t="n"/>
      <c r="B83" s="6" t="n"/>
      <c r="C83" s="6" t="n"/>
      <c r="D83" s="6" t="n"/>
      <c r="E83" s="6" t="n"/>
      <c r="F83" s="6" t="n"/>
      <c r="G83" s="7" t="n"/>
      <c r="H83" s="7" t="n"/>
      <c r="I83" s="7" t="n"/>
      <c r="J83" s="7">
        <f>IF(COUNT(G83:I83)=3,G83*H83*I83,"")</f>
        <v/>
      </c>
      <c r="K83" s="6" t="n"/>
      <c r="L83" s="6" t="n"/>
      <c r="M83" s="6" t="n"/>
      <c r="N83" s="7" t="n"/>
      <c r="O83" s="7" t="n"/>
      <c r="P83" s="7" t="n"/>
      <c r="Q83" s="7">
        <f>IF(COUNT(N83:P83)=3,N83*O83*P83,"")</f>
        <v/>
      </c>
      <c r="R83" s="8">
        <f>IF(AND(ISNUMBER(J83),ISNUMBER(Q83),J83&gt;0),(J83-Q83)/J83,"")</f>
        <v/>
      </c>
    </row>
    <row r="84">
      <c r="A84" s="6" t="n"/>
      <c r="B84" s="6" t="n"/>
      <c r="C84" s="6" t="n"/>
      <c r="D84" s="6" t="n"/>
      <c r="E84" s="6" t="n"/>
      <c r="F84" s="6" t="n"/>
      <c r="G84" s="7" t="n"/>
      <c r="H84" s="7" t="n"/>
      <c r="I84" s="7" t="n"/>
      <c r="J84" s="7">
        <f>IF(COUNT(G84:I84)=3,G84*H84*I84,"")</f>
        <v/>
      </c>
      <c r="K84" s="6" t="n"/>
      <c r="L84" s="6" t="n"/>
      <c r="M84" s="6" t="n"/>
      <c r="N84" s="7" t="n"/>
      <c r="O84" s="7" t="n"/>
      <c r="P84" s="7" t="n"/>
      <c r="Q84" s="7">
        <f>IF(COUNT(N84:P84)=3,N84*O84*P84,"")</f>
        <v/>
      </c>
      <c r="R84" s="8">
        <f>IF(AND(ISNUMBER(J84),ISNUMBER(Q84),J84&gt;0),(J84-Q84)/J84,"")</f>
        <v/>
      </c>
    </row>
    <row r="85">
      <c r="A85" s="6" t="n"/>
      <c r="B85" s="6" t="n"/>
      <c r="C85" s="6" t="n"/>
      <c r="D85" s="6" t="n"/>
      <c r="E85" s="6" t="n"/>
      <c r="F85" s="6" t="n"/>
      <c r="G85" s="7" t="n"/>
      <c r="H85" s="7" t="n"/>
      <c r="I85" s="7" t="n"/>
      <c r="J85" s="7">
        <f>IF(COUNT(G85:I85)=3,G85*H85*I85,"")</f>
        <v/>
      </c>
      <c r="K85" s="6" t="n"/>
      <c r="L85" s="6" t="n"/>
      <c r="M85" s="6" t="n"/>
      <c r="N85" s="7" t="n"/>
      <c r="O85" s="7" t="n"/>
      <c r="P85" s="7" t="n"/>
      <c r="Q85" s="7">
        <f>IF(COUNT(N85:P85)=3,N85*O85*P85,"")</f>
        <v/>
      </c>
      <c r="R85" s="8">
        <f>IF(AND(ISNUMBER(J85),ISNUMBER(Q85),J85&gt;0),(J85-Q85)/J85,"")</f>
        <v/>
      </c>
    </row>
    <row r="86">
      <c r="A86" s="6" t="n"/>
      <c r="B86" s="6" t="n"/>
      <c r="C86" s="6" t="n"/>
      <c r="D86" s="6" t="n"/>
      <c r="E86" s="6" t="n"/>
      <c r="F86" s="6" t="n"/>
      <c r="G86" s="7" t="n"/>
      <c r="H86" s="7" t="n"/>
      <c r="I86" s="7" t="n"/>
      <c r="J86" s="7">
        <f>IF(COUNT(G86:I86)=3,G86*H86*I86,"")</f>
        <v/>
      </c>
      <c r="K86" s="6" t="n"/>
      <c r="L86" s="6" t="n"/>
      <c r="M86" s="6" t="n"/>
      <c r="N86" s="7" t="n"/>
      <c r="O86" s="7" t="n"/>
      <c r="P86" s="7" t="n"/>
      <c r="Q86" s="7">
        <f>IF(COUNT(N86:P86)=3,N86*O86*P86,"")</f>
        <v/>
      </c>
      <c r="R86" s="8">
        <f>IF(AND(ISNUMBER(J86),ISNUMBER(Q86),J86&gt;0),(J86-Q86)/J86,"")</f>
        <v/>
      </c>
    </row>
    <row r="87">
      <c r="A87" s="6" t="n"/>
      <c r="B87" s="6" t="n"/>
      <c r="C87" s="6" t="n"/>
      <c r="D87" s="6" t="n"/>
      <c r="E87" s="6" t="n"/>
      <c r="F87" s="6" t="n"/>
      <c r="G87" s="7" t="n"/>
      <c r="H87" s="7" t="n"/>
      <c r="I87" s="7" t="n"/>
      <c r="J87" s="7">
        <f>IF(COUNT(G87:I87)=3,G87*H87*I87,"")</f>
        <v/>
      </c>
      <c r="K87" s="6" t="n"/>
      <c r="L87" s="6" t="n"/>
      <c r="M87" s="6" t="n"/>
      <c r="N87" s="7" t="n"/>
      <c r="O87" s="7" t="n"/>
      <c r="P87" s="7" t="n"/>
      <c r="Q87" s="7">
        <f>IF(COUNT(N87:P87)=3,N87*O87*P87,"")</f>
        <v/>
      </c>
      <c r="R87" s="8">
        <f>IF(AND(ISNUMBER(J87),ISNUMBER(Q87),J87&gt;0),(J87-Q87)/J87,"")</f>
        <v/>
      </c>
    </row>
    <row r="88">
      <c r="A88" s="6" t="n"/>
      <c r="B88" s="6" t="n"/>
      <c r="C88" s="6" t="n"/>
      <c r="D88" s="6" t="n"/>
      <c r="E88" s="6" t="n"/>
      <c r="F88" s="6" t="n"/>
      <c r="G88" s="7" t="n"/>
      <c r="H88" s="7" t="n"/>
      <c r="I88" s="7" t="n"/>
      <c r="J88" s="7">
        <f>IF(COUNT(G88:I88)=3,G88*H88*I88,"")</f>
        <v/>
      </c>
      <c r="K88" s="6" t="n"/>
      <c r="L88" s="6" t="n"/>
      <c r="M88" s="6" t="n"/>
      <c r="N88" s="7" t="n"/>
      <c r="O88" s="7" t="n"/>
      <c r="P88" s="7" t="n"/>
      <c r="Q88" s="7">
        <f>IF(COUNT(N88:P88)=3,N88*O88*P88,"")</f>
        <v/>
      </c>
      <c r="R88" s="8">
        <f>IF(AND(ISNUMBER(J88),ISNUMBER(Q88),J88&gt;0),(J88-Q88)/J88,"")</f>
        <v/>
      </c>
    </row>
    <row r="89">
      <c r="A89" s="6" t="n"/>
      <c r="B89" s="6" t="n"/>
      <c r="C89" s="6" t="n"/>
      <c r="D89" s="6" t="n"/>
      <c r="E89" s="6" t="n"/>
      <c r="F89" s="6" t="n"/>
      <c r="G89" s="7" t="n"/>
      <c r="H89" s="7" t="n"/>
      <c r="I89" s="7" t="n"/>
      <c r="J89" s="7">
        <f>IF(COUNT(G89:I89)=3,G89*H89*I89,"")</f>
        <v/>
      </c>
      <c r="K89" s="6" t="n"/>
      <c r="L89" s="6" t="n"/>
      <c r="M89" s="6" t="n"/>
      <c r="N89" s="7" t="n"/>
      <c r="O89" s="7" t="n"/>
      <c r="P89" s="7" t="n"/>
      <c r="Q89" s="7">
        <f>IF(COUNT(N89:P89)=3,N89*O89*P89,"")</f>
        <v/>
      </c>
      <c r="R89" s="8">
        <f>IF(AND(ISNUMBER(J89),ISNUMBER(Q89),J89&gt;0),(J89-Q89)/J89,"")</f>
        <v/>
      </c>
    </row>
    <row r="90">
      <c r="A90" s="6" t="n"/>
      <c r="B90" s="6" t="n"/>
      <c r="C90" s="6" t="n"/>
      <c r="D90" s="6" t="n"/>
      <c r="E90" s="6" t="n"/>
      <c r="F90" s="6" t="n"/>
      <c r="G90" s="7" t="n"/>
      <c r="H90" s="7" t="n"/>
      <c r="I90" s="7" t="n"/>
      <c r="J90" s="7">
        <f>IF(COUNT(G90:I90)=3,G90*H90*I90,"")</f>
        <v/>
      </c>
      <c r="K90" s="6" t="n"/>
      <c r="L90" s="6" t="n"/>
      <c r="M90" s="6" t="n"/>
      <c r="N90" s="7" t="n"/>
      <c r="O90" s="7" t="n"/>
      <c r="P90" s="7" t="n"/>
      <c r="Q90" s="7">
        <f>IF(COUNT(N90:P90)=3,N90*O90*P90,"")</f>
        <v/>
      </c>
      <c r="R90" s="8">
        <f>IF(AND(ISNUMBER(J90),ISNUMBER(Q90),J90&gt;0),(J90-Q90)/J90,"")</f>
        <v/>
      </c>
    </row>
    <row r="91">
      <c r="A91" s="6" t="n"/>
      <c r="B91" s="6" t="n"/>
      <c r="C91" s="6" t="n"/>
      <c r="D91" s="6" t="n"/>
      <c r="E91" s="6" t="n"/>
      <c r="F91" s="6" t="n"/>
      <c r="G91" s="7" t="n"/>
      <c r="H91" s="7" t="n"/>
      <c r="I91" s="7" t="n"/>
      <c r="J91" s="7">
        <f>IF(COUNT(G91:I91)=3,G91*H91*I91,"")</f>
        <v/>
      </c>
      <c r="K91" s="6" t="n"/>
      <c r="L91" s="6" t="n"/>
      <c r="M91" s="6" t="n"/>
      <c r="N91" s="7" t="n"/>
      <c r="O91" s="7" t="n"/>
      <c r="P91" s="7" t="n"/>
      <c r="Q91" s="7">
        <f>IF(COUNT(N91:P91)=3,N91*O91*P91,"")</f>
        <v/>
      </c>
      <c r="R91" s="8">
        <f>IF(AND(ISNUMBER(J91),ISNUMBER(Q91),J91&gt;0),(J91-Q91)/J91,"")</f>
        <v/>
      </c>
    </row>
    <row r="92">
      <c r="A92" s="6" t="n"/>
      <c r="B92" s="6" t="n"/>
      <c r="C92" s="6" t="n"/>
      <c r="D92" s="6" t="n"/>
      <c r="E92" s="6" t="n"/>
      <c r="F92" s="6" t="n"/>
      <c r="G92" s="7" t="n"/>
      <c r="H92" s="7" t="n"/>
      <c r="I92" s="7" t="n"/>
      <c r="J92" s="7">
        <f>IF(COUNT(G92:I92)=3,G92*H92*I92,"")</f>
        <v/>
      </c>
      <c r="K92" s="6" t="n"/>
      <c r="L92" s="6" t="n"/>
      <c r="M92" s="6" t="n"/>
      <c r="N92" s="7" t="n"/>
      <c r="O92" s="7" t="n"/>
      <c r="P92" s="7" t="n"/>
      <c r="Q92" s="7">
        <f>IF(COUNT(N92:P92)=3,N92*O92*P92,"")</f>
        <v/>
      </c>
      <c r="R92" s="8">
        <f>IF(AND(ISNUMBER(J92),ISNUMBER(Q92),J92&gt;0),(J92-Q92)/J92,"")</f>
        <v/>
      </c>
    </row>
    <row r="93">
      <c r="A93" s="6" t="n"/>
      <c r="B93" s="6" t="n"/>
      <c r="C93" s="6" t="n"/>
      <c r="D93" s="6" t="n"/>
      <c r="E93" s="6" t="n"/>
      <c r="F93" s="6" t="n"/>
      <c r="G93" s="7" t="n"/>
      <c r="H93" s="7" t="n"/>
      <c r="I93" s="7" t="n"/>
      <c r="J93" s="7">
        <f>IF(COUNT(G93:I93)=3,G93*H93*I93,"")</f>
        <v/>
      </c>
      <c r="K93" s="6" t="n"/>
      <c r="L93" s="6" t="n"/>
      <c r="M93" s="6" t="n"/>
      <c r="N93" s="7" t="n"/>
      <c r="O93" s="7" t="n"/>
      <c r="P93" s="7" t="n"/>
      <c r="Q93" s="7">
        <f>IF(COUNT(N93:P93)=3,N93*O93*P93,"")</f>
        <v/>
      </c>
      <c r="R93" s="8">
        <f>IF(AND(ISNUMBER(J93),ISNUMBER(Q93),J93&gt;0),(J93-Q93)/J93,"")</f>
        <v/>
      </c>
    </row>
    <row r="94">
      <c r="A94" s="6" t="n"/>
      <c r="B94" s="6" t="n"/>
      <c r="C94" s="6" t="n"/>
      <c r="D94" s="6" t="n"/>
      <c r="E94" s="6" t="n"/>
      <c r="F94" s="6" t="n"/>
      <c r="G94" s="7" t="n"/>
      <c r="H94" s="7" t="n"/>
      <c r="I94" s="7" t="n"/>
      <c r="J94" s="7">
        <f>IF(COUNT(G94:I94)=3,G94*H94*I94,"")</f>
        <v/>
      </c>
      <c r="K94" s="6" t="n"/>
      <c r="L94" s="6" t="n"/>
      <c r="M94" s="6" t="n"/>
      <c r="N94" s="7" t="n"/>
      <c r="O94" s="7" t="n"/>
      <c r="P94" s="7" t="n"/>
      <c r="Q94" s="7">
        <f>IF(COUNT(N94:P94)=3,N94*O94*P94,"")</f>
        <v/>
      </c>
      <c r="R94" s="8">
        <f>IF(AND(ISNUMBER(J94),ISNUMBER(Q94),J94&gt;0),(J94-Q94)/J94,"")</f>
        <v/>
      </c>
    </row>
    <row r="95">
      <c r="A95" s="6" t="n"/>
      <c r="B95" s="6" t="n"/>
      <c r="C95" s="6" t="n"/>
      <c r="D95" s="6" t="n"/>
      <c r="E95" s="6" t="n"/>
      <c r="F95" s="6" t="n"/>
      <c r="G95" s="7" t="n"/>
      <c r="H95" s="7" t="n"/>
      <c r="I95" s="7" t="n"/>
      <c r="J95" s="7">
        <f>IF(COUNT(G95:I95)=3,G95*H95*I95,"")</f>
        <v/>
      </c>
      <c r="K95" s="6" t="n"/>
      <c r="L95" s="6" t="n"/>
      <c r="M95" s="6" t="n"/>
      <c r="N95" s="7" t="n"/>
      <c r="O95" s="7" t="n"/>
      <c r="P95" s="7" t="n"/>
      <c r="Q95" s="7">
        <f>IF(COUNT(N95:P95)=3,N95*O95*P95,"")</f>
        <v/>
      </c>
      <c r="R95" s="8">
        <f>IF(AND(ISNUMBER(J95),ISNUMBER(Q95),J95&gt;0),(J95-Q95)/J95,"")</f>
        <v/>
      </c>
    </row>
    <row r="96">
      <c r="A96" s="6" t="n"/>
      <c r="B96" s="6" t="n"/>
      <c r="C96" s="6" t="n"/>
      <c r="D96" s="6" t="n"/>
      <c r="E96" s="6" t="n"/>
      <c r="F96" s="6" t="n"/>
      <c r="G96" s="7" t="n"/>
      <c r="H96" s="7" t="n"/>
      <c r="I96" s="7" t="n"/>
      <c r="J96" s="7">
        <f>IF(COUNT(G96:I96)=3,G96*H96*I96,"")</f>
        <v/>
      </c>
      <c r="K96" s="6" t="n"/>
      <c r="L96" s="6" t="n"/>
      <c r="M96" s="6" t="n"/>
      <c r="N96" s="7" t="n"/>
      <c r="O96" s="7" t="n"/>
      <c r="P96" s="7" t="n"/>
      <c r="Q96" s="7">
        <f>IF(COUNT(N96:P96)=3,N96*O96*P96,"")</f>
        <v/>
      </c>
      <c r="R96" s="8">
        <f>IF(AND(ISNUMBER(J96),ISNUMBER(Q96),J96&gt;0),(J96-Q96)/J96,"")</f>
        <v/>
      </c>
    </row>
    <row r="97">
      <c r="A97" s="6" t="n"/>
      <c r="B97" s="6" t="n"/>
      <c r="C97" s="6" t="n"/>
      <c r="D97" s="6" t="n"/>
      <c r="E97" s="6" t="n"/>
      <c r="F97" s="6" t="n"/>
      <c r="G97" s="7" t="n"/>
      <c r="H97" s="7" t="n"/>
      <c r="I97" s="7" t="n"/>
      <c r="J97" s="7">
        <f>IF(COUNT(G97:I97)=3,G97*H97*I97,"")</f>
        <v/>
      </c>
      <c r="K97" s="6" t="n"/>
      <c r="L97" s="6" t="n"/>
      <c r="M97" s="6" t="n"/>
      <c r="N97" s="7" t="n"/>
      <c r="O97" s="7" t="n"/>
      <c r="P97" s="7" t="n"/>
      <c r="Q97" s="7">
        <f>IF(COUNT(N97:P97)=3,N97*O97*P97,"")</f>
        <v/>
      </c>
      <c r="R97" s="8">
        <f>IF(AND(ISNUMBER(J97),ISNUMBER(Q97),J97&gt;0),(J97-Q97)/J97,"")</f>
        <v/>
      </c>
    </row>
    <row r="98">
      <c r="A98" s="6" t="n"/>
      <c r="B98" s="6" t="n"/>
      <c r="C98" s="6" t="n"/>
      <c r="D98" s="6" t="n"/>
      <c r="E98" s="6" t="n"/>
      <c r="F98" s="6" t="n"/>
      <c r="G98" s="7" t="n"/>
      <c r="H98" s="7" t="n"/>
      <c r="I98" s="7" t="n"/>
      <c r="J98" s="7">
        <f>IF(COUNT(G98:I98)=3,G98*H98*I98,"")</f>
        <v/>
      </c>
      <c r="K98" s="6" t="n"/>
      <c r="L98" s="6" t="n"/>
      <c r="M98" s="6" t="n"/>
      <c r="N98" s="7" t="n"/>
      <c r="O98" s="7" t="n"/>
      <c r="P98" s="7" t="n"/>
      <c r="Q98" s="7">
        <f>IF(COUNT(N98:P98)=3,N98*O98*P98,"")</f>
        <v/>
      </c>
      <c r="R98" s="8">
        <f>IF(AND(ISNUMBER(J98),ISNUMBER(Q98),J98&gt;0),(J98-Q98)/J98,"")</f>
        <v/>
      </c>
    </row>
    <row r="99">
      <c r="A99" s="6" t="n"/>
      <c r="B99" s="6" t="n"/>
      <c r="C99" s="6" t="n"/>
      <c r="D99" s="6" t="n"/>
      <c r="E99" s="6" t="n"/>
      <c r="F99" s="6" t="n"/>
      <c r="G99" s="7" t="n"/>
      <c r="H99" s="7" t="n"/>
      <c r="I99" s="7" t="n"/>
      <c r="J99" s="7">
        <f>IF(COUNT(G99:I99)=3,G99*H99*I99,"")</f>
        <v/>
      </c>
      <c r="K99" s="6" t="n"/>
      <c r="L99" s="6" t="n"/>
      <c r="M99" s="6" t="n"/>
      <c r="N99" s="7" t="n"/>
      <c r="O99" s="7" t="n"/>
      <c r="P99" s="7" t="n"/>
      <c r="Q99" s="7">
        <f>IF(COUNT(N99:P99)=3,N99*O99*P99,"")</f>
        <v/>
      </c>
      <c r="R99" s="8">
        <f>IF(AND(ISNUMBER(J99),ISNUMBER(Q99),J99&gt;0),(J99-Q99)/J99,"")</f>
        <v/>
      </c>
    </row>
    <row r="100">
      <c r="A100" s="6" t="n"/>
      <c r="B100" s="6" t="n"/>
      <c r="C100" s="6" t="n"/>
      <c r="D100" s="6" t="n"/>
      <c r="E100" s="6" t="n"/>
      <c r="F100" s="6" t="n"/>
      <c r="G100" s="7" t="n"/>
      <c r="H100" s="7" t="n"/>
      <c r="I100" s="7" t="n"/>
      <c r="J100" s="7">
        <f>IF(COUNT(G100:I100)=3,G100*H100*I100,"")</f>
        <v/>
      </c>
      <c r="K100" s="6" t="n"/>
      <c r="L100" s="6" t="n"/>
      <c r="M100" s="6" t="n"/>
      <c r="N100" s="7" t="n"/>
      <c r="O100" s="7" t="n"/>
      <c r="P100" s="7" t="n"/>
      <c r="Q100" s="7">
        <f>IF(COUNT(N100:P100)=3,N100*O100*P100,"")</f>
        <v/>
      </c>
      <c r="R100" s="8">
        <f>IF(AND(ISNUMBER(J100),ISNUMBER(Q100),J100&gt;0),(J100-Q100)/J100,"")</f>
        <v/>
      </c>
    </row>
    <row r="101">
      <c r="A101" s="6" t="n"/>
      <c r="B101" s="6" t="n"/>
      <c r="C101" s="6" t="n"/>
      <c r="D101" s="6" t="n"/>
      <c r="E101" s="6" t="n"/>
      <c r="F101" s="6" t="n"/>
      <c r="G101" s="7" t="n"/>
      <c r="H101" s="7" t="n"/>
      <c r="I101" s="7" t="n"/>
      <c r="J101" s="7">
        <f>IF(COUNT(G101:I101)=3,G101*H101*I101,"")</f>
        <v/>
      </c>
      <c r="K101" s="6" t="n"/>
      <c r="L101" s="6" t="n"/>
      <c r="M101" s="6" t="n"/>
      <c r="N101" s="7" t="n"/>
      <c r="O101" s="7" t="n"/>
      <c r="P101" s="7" t="n"/>
      <c r="Q101" s="7">
        <f>IF(COUNT(N101:P101)=3,N101*O101*P101,"")</f>
        <v/>
      </c>
      <c r="R101" s="8">
        <f>IF(AND(ISNUMBER(J101),ISNUMBER(Q101),J101&gt;0),(J101-Q101)/J101,"")</f>
        <v/>
      </c>
    </row>
    <row r="102">
      <c r="A102" s="6" t="n"/>
      <c r="B102" s="6" t="n"/>
      <c r="C102" s="6" t="n"/>
      <c r="D102" s="6" t="n"/>
      <c r="E102" s="6" t="n"/>
      <c r="F102" s="6" t="n"/>
      <c r="G102" s="7" t="n"/>
      <c r="H102" s="7" t="n"/>
      <c r="I102" s="7" t="n"/>
      <c r="J102" s="7">
        <f>IF(COUNT(G102:I102)=3,G102*H102*I102,"")</f>
        <v/>
      </c>
      <c r="K102" s="6" t="n"/>
      <c r="L102" s="6" t="n"/>
      <c r="M102" s="6" t="n"/>
      <c r="N102" s="7" t="n"/>
      <c r="O102" s="7" t="n"/>
      <c r="P102" s="7" t="n"/>
      <c r="Q102" s="7">
        <f>IF(COUNT(N102:P102)=3,N102*O102*P102,"")</f>
        <v/>
      </c>
      <c r="R102" s="8">
        <f>IF(AND(ISNUMBER(J102),ISNUMBER(Q102),J102&gt;0),(J102-Q102)/J102,"")</f>
        <v/>
      </c>
    </row>
    <row r="103">
      <c r="A103" s="6" t="n"/>
      <c r="B103" s="6" t="n"/>
      <c r="C103" s="6" t="n"/>
      <c r="D103" s="6" t="n"/>
      <c r="E103" s="6" t="n"/>
      <c r="F103" s="6" t="n"/>
      <c r="G103" s="7" t="n"/>
      <c r="H103" s="7" t="n"/>
      <c r="I103" s="7" t="n"/>
      <c r="J103" s="7">
        <f>IF(COUNT(G103:I103)=3,G103*H103*I103,"")</f>
        <v/>
      </c>
      <c r="K103" s="6" t="n"/>
      <c r="L103" s="6" t="n"/>
      <c r="M103" s="6" t="n"/>
      <c r="N103" s="7" t="n"/>
      <c r="O103" s="7" t="n"/>
      <c r="P103" s="7" t="n"/>
      <c r="Q103" s="7">
        <f>IF(COUNT(N103:P103)=3,N103*O103*P103,"")</f>
        <v/>
      </c>
      <c r="R103" s="8">
        <f>IF(AND(ISNUMBER(J103),ISNUMBER(Q103),J103&gt;0),(J103-Q103)/J103,"")</f>
        <v/>
      </c>
    </row>
  </sheetData>
  <autoFilter ref="A3:R103"/>
  <conditionalFormatting sqref="J4:J103">
    <cfRule type="expression" priority="1" dxfId="0">
      <formula>AND(ISNUMBER(J4),J4&gt;=Seuils!$B$4)</formula>
    </cfRule>
    <cfRule type="expression" priority="2" dxfId="1">
      <formula>AND(ISNUMBER(J4),J4&gt;=Seuils!$B$3)</formula>
    </cfRule>
    <cfRule type="expression" priority="3" dxfId="2">
      <formula>ISNUMBER(J4)</formula>
    </cfRule>
  </conditionalFormatting>
  <conditionalFormatting sqref="Q4:Q103">
    <cfRule type="expression" priority="4" dxfId="0">
      <formula>AND(ISNUMBER(Q4),Q4&gt;=Seuils!$B$4)</formula>
    </cfRule>
    <cfRule type="expression" priority="5" dxfId="1">
      <formula>AND(ISNUMBER(Q4),Q4&gt;=Seuils!$B$3)</formula>
    </cfRule>
    <cfRule type="expression" priority="6" dxfId="2">
      <formula>ISNUMBER(Q4)</formula>
    </cfRule>
  </conditionalFormatting>
  <dataValidations count="1">
    <dataValidation sqref="G4:I103 N4:P103" showDropDown="0" showInputMessage="0" showErrorMessage="1" allowBlank="1" errorTitle="Note invalide" error="Saisir un entier de 1 à 10 (voir onglet Barèmes).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40" customWidth="1" min="3" max="3"/>
    <col width="45" customWidth="1" min="4" max="4"/>
  </cols>
  <sheetData>
    <row r="1">
      <c r="A1" s="1" t="inlineStr">
        <is>
          <t>Barèmes de cotation (1 à 10)</t>
        </is>
      </c>
    </row>
    <row r="3" ht="32" customHeight="1">
      <c r="A3" s="5" t="inlineStr">
        <is>
          <t>Note</t>
        </is>
      </c>
      <c r="B3" s="5" t="inlineStr">
        <is>
          <t>Gravité (G)</t>
        </is>
      </c>
      <c r="C3" s="5" t="inlineStr">
        <is>
          <t>Occurrence (O)</t>
        </is>
      </c>
      <c r="D3" s="5" t="inlineStr">
        <is>
          <t>Détection (D)</t>
        </is>
      </c>
    </row>
    <row r="4">
      <c r="A4" s="6" t="n">
        <v>1</v>
      </c>
      <c r="B4" s="6" t="inlineStr">
        <is>
          <t>Sans effet perceptible</t>
        </is>
      </c>
      <c r="C4" s="6" t="inlineStr">
        <is>
          <t>Quasi impossible (&lt; 1/1 000 000)</t>
        </is>
      </c>
      <c r="D4" s="6" t="inlineStr">
        <is>
          <t>Détection certaine</t>
        </is>
      </c>
    </row>
    <row r="5">
      <c r="A5" s="6" t="n">
        <v>2</v>
      </c>
      <c r="B5" s="6" t="inlineStr">
        <is>
          <t>Effet très mineur</t>
        </is>
      </c>
      <c r="C5" s="6" t="inlineStr">
        <is>
          <t>Très rare</t>
        </is>
      </c>
      <c r="D5" s="6" t="inlineStr">
        <is>
          <t>Détection quasi certaine</t>
        </is>
      </c>
    </row>
    <row r="6">
      <c r="A6" s="6" t="n">
        <v>3</v>
      </c>
      <c r="B6" s="6" t="inlineStr">
        <is>
          <t>Effet mineur, gêne légère</t>
        </is>
      </c>
      <c r="C6" s="6" t="inlineStr">
        <is>
          <t>Rare</t>
        </is>
      </c>
      <c r="D6" s="6" t="inlineStr">
        <is>
          <t>Très forte probabilité de détection</t>
        </is>
      </c>
    </row>
    <row r="7">
      <c r="A7" s="6" t="n">
        <v>4</v>
      </c>
      <c r="B7" s="6" t="inlineStr">
        <is>
          <t>Gêne notable, sans perte de fonction</t>
        </is>
      </c>
      <c r="C7" s="6" t="inlineStr">
        <is>
          <t>Peu fréquent</t>
        </is>
      </c>
      <c r="D7" s="6" t="inlineStr">
        <is>
          <t>Forte probabilité</t>
        </is>
      </c>
    </row>
    <row r="8">
      <c r="A8" s="6" t="n">
        <v>5</v>
      </c>
      <c r="B8" s="6" t="inlineStr">
        <is>
          <t>Dégradation partielle de fonction</t>
        </is>
      </c>
      <c r="C8" s="6" t="inlineStr">
        <is>
          <t>Occasionnel</t>
        </is>
      </c>
      <c r="D8" s="6" t="inlineStr">
        <is>
          <t>Probabilité modérée</t>
        </is>
      </c>
    </row>
    <row r="9">
      <c r="A9" s="6" t="n">
        <v>6</v>
      </c>
      <c r="B9" s="6" t="inlineStr">
        <is>
          <t>Perte partielle de fonction</t>
        </is>
      </c>
      <c r="C9" s="6" t="inlineStr">
        <is>
          <t>Assez fréquent</t>
        </is>
      </c>
      <c r="D9" s="6" t="inlineStr">
        <is>
          <t>Faible probabilité</t>
        </is>
      </c>
    </row>
    <row r="10">
      <c r="A10" s="6" t="n">
        <v>7</v>
      </c>
      <c r="B10" s="6" t="inlineStr">
        <is>
          <t>Perte de fonction principale</t>
        </is>
      </c>
      <c r="C10" s="6" t="inlineStr">
        <is>
          <t>Fréquent</t>
        </is>
      </c>
      <c r="D10" s="6" t="inlineStr">
        <is>
          <t>Très faible probabilité</t>
        </is>
      </c>
    </row>
    <row r="11">
      <c r="A11" s="6" t="n">
        <v>8</v>
      </c>
      <c r="B11" s="6" t="inlineStr">
        <is>
          <t>Arrêt majeur, client très insatisfait</t>
        </is>
      </c>
      <c r="C11" s="6" t="inlineStr">
        <is>
          <t>Très fréquent</t>
        </is>
      </c>
      <c r="D11" s="6" t="inlineStr">
        <is>
          <t>Détection improbable</t>
        </is>
      </c>
    </row>
    <row r="12">
      <c r="A12" s="6" t="n">
        <v>9</v>
      </c>
      <c r="B12" s="6" t="inlineStr">
        <is>
          <t>Risque sécurité / non-conformité, avec alerte</t>
        </is>
      </c>
      <c r="C12" s="6" t="inlineStr">
        <is>
          <t>Quasi systématique</t>
        </is>
      </c>
      <c r="D12" s="6" t="inlineStr">
        <is>
          <t>Détection très improbable</t>
        </is>
      </c>
    </row>
    <row r="13">
      <c r="A13" s="6" t="n">
        <v>10</v>
      </c>
      <c r="B13" s="6" t="inlineStr">
        <is>
          <t>Risque sécurité / réglementaire sans alerte</t>
        </is>
      </c>
      <c r="C13" s="6" t="inlineStr">
        <is>
          <t>Certain (&gt; 1/2)</t>
        </is>
      </c>
      <c r="D13" s="6" t="inlineStr">
        <is>
          <t>Aucun moyen de détection</t>
        </is>
      </c>
    </row>
    <row r="15">
      <c r="A15" s="4" t="inlineStr">
        <is>
          <t>[Barèmes indicatifs : à adapter au domaine (produit, processus, logiciel).]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</cols>
  <sheetData>
    <row r="1">
      <c r="A1" s="1" t="inlineStr">
        <is>
          <t>Seuils de criticité (modifiables)</t>
        </is>
      </c>
    </row>
    <row r="2" ht="32" customHeight="1">
      <c r="A2" s="5" t="inlineStr">
        <is>
          <t>Seuil</t>
        </is>
      </c>
      <c r="B2" s="5" t="inlineStr">
        <is>
          <t>Valeur</t>
        </is>
      </c>
      <c r="C2" s="5" t="inlineStr">
        <is>
          <t>Signification</t>
        </is>
      </c>
    </row>
    <row r="3">
      <c r="A3" s="6" t="inlineStr">
        <is>
          <t>Seuil « à surveiller »</t>
        </is>
      </c>
      <c r="B3" s="6" t="n">
        <v>100</v>
      </c>
      <c r="C3" s="6" t="inlineStr">
        <is>
          <t>C ≥ valeur : orange</t>
        </is>
      </c>
    </row>
    <row r="4">
      <c r="A4" s="6" t="inlineStr">
        <is>
          <t>Seuil « action obligatoire »</t>
        </is>
      </c>
      <c r="B4" s="6" t="n">
        <v>200</v>
      </c>
      <c r="C4" s="6" t="inlineStr">
        <is>
          <t>C ≥ valeur : rouge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1" t="inlineStr">
        <is>
          <t>Synthèse AMDEC</t>
        </is>
      </c>
    </row>
    <row r="3" ht="32" customHeight="1">
      <c r="A3" s="5" t="inlineStr">
        <is>
          <t>Indicateur</t>
        </is>
      </c>
      <c r="B3" s="5" t="inlineStr">
        <is>
          <t>Avant action</t>
        </is>
      </c>
      <c r="C3" s="5" t="inlineStr">
        <is>
          <t>Après action</t>
        </is>
      </c>
    </row>
    <row r="4">
      <c r="A4" s="6" t="inlineStr">
        <is>
          <t>Modes de défaillance cotés</t>
        </is>
      </c>
      <c r="B4" s="6">
        <f>COUNT(AMDEC!J4:J103)</f>
        <v/>
      </c>
      <c r="C4" s="6">
        <f>COUNT(AMDEC!Q4:Q103)</f>
        <v/>
      </c>
    </row>
    <row r="5">
      <c r="A5" s="6" t="inlineStr">
        <is>
          <t>Criticité maximale</t>
        </is>
      </c>
      <c r="B5" s="6">
        <f>IF(COUNT(AMDEC!J4:J103)=0,0,MAX(AMDEC!J4:J103))</f>
        <v/>
      </c>
      <c r="C5" s="6">
        <f>IF(COUNT(AMDEC!Q4:Q103)=0,0,MAX(AMDEC!Q4:Q103))</f>
        <v/>
      </c>
    </row>
    <row r="6">
      <c r="A6" s="6" t="inlineStr">
        <is>
          <t>Criticité moyenne</t>
        </is>
      </c>
      <c r="B6" s="9">
        <f>IF(COUNT(AMDEC!J4:J103)=0,0,AVERAGE(AMDEC!J4:J103))</f>
        <v/>
      </c>
      <c r="C6" s="9">
        <f>IF(COUNT(AMDEC!Q4:Q103)=0,0,AVERAGE(AMDEC!Q4:Q103))</f>
        <v/>
      </c>
    </row>
    <row r="7">
      <c r="A7" s="6" t="inlineStr">
        <is>
          <t>Nb critiques (≥ seuil action)</t>
        </is>
      </c>
      <c r="B7" s="6">
        <f>COUNTIF(AMDEC!J4:J103,"&gt;="&amp;Seuils!B4)</f>
        <v/>
      </c>
      <c r="C7" s="6">
        <f>COUNTIF(AMDEC!Q4:Q103,"&gt;="&amp;Seuils!B4)</f>
        <v/>
      </c>
    </row>
    <row r="8">
      <c r="A8" s="6" t="inlineStr">
        <is>
          <t>Nb à surveiller</t>
        </is>
      </c>
      <c r="B8" s="6">
        <f>COUNTIFS(AMDEC!J4:J103,"&gt;="&amp;Seuils!B3,AMDEC!J4:J103,"&lt;"&amp;Seuils!B4)</f>
        <v/>
      </c>
      <c r="C8" s="6">
        <f>COUNTIFS(AMDEC!Q4:Q103,"&gt;="&amp;Seuils!B3,AMDEC!Q4:Q103,"&lt;"&amp;Seuils!B4)</f>
        <v/>
      </c>
    </row>
    <row r="9">
      <c r="A9" s="6" t="inlineStr">
        <is>
          <t>Nb acceptables</t>
        </is>
      </c>
      <c r="B9" s="6">
        <f>COUNTIF(AMDEC!J4:J103,"&lt;"&amp;Seuils!B3)</f>
        <v/>
      </c>
      <c r="C9" s="6">
        <f>COUNTIF(AMDEC!Q4:Q103,"&lt;"&amp;Seuils!B3)</f>
        <v/>
      </c>
    </row>
    <row r="10">
      <c r="A10" s="6" t="inlineStr">
        <is>
          <t>Somme des criticités</t>
        </is>
      </c>
      <c r="B10" s="6">
        <f>SUM(AMDEC!J4:J103)</f>
        <v/>
      </c>
      <c r="C10" s="6">
        <f>SUM(AMDEC!Q4:Q103)</f>
        <v/>
      </c>
    </row>
    <row r="11">
      <c r="A11" s="6" t="inlineStr">
        <is>
          <t>Réduction globale de criticité</t>
        </is>
      </c>
      <c r="B11" s="8">
        <f>IF(B10=0,0,(B10-C10)/B10)</f>
        <v/>
      </c>
      <c r="C11" s="6" t="n"/>
    </row>
    <row r="12">
      <c r="A12" s="6" t="inlineStr">
        <is>
          <t>Critiques sans action définie</t>
        </is>
      </c>
      <c r="B12" s="6">
        <f>COUNTIFS(AMDEC!J4:J103,"&gt;="&amp;Seuils!B4,AMDEC!K4:K103,"")</f>
        <v/>
      </c>
      <c r="C1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2026-10-29T21:15:13Z</dcterms:created>
  <dcterms:modified xmlns:dcterms="http://purl.org/dc/terms/" xmlns:xsi="http://www.w3.org/2001/XMLSchema-instance" xsi:type="dcterms:W3CDTF">2026-10-29T21:15:13Z</dcterms:modified>
</cp:coreProperties>
</file>