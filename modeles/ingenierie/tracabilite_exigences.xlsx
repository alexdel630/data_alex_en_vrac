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 d'emploi" sheetId="1" state="visible" r:id="rId1"/>
    <sheet xmlns:r="http://schemas.openxmlformats.org/officeDocument/2006/relationships" name="Traçabilité" sheetId="2" state="visible" r:id="rId2"/>
    <sheet xmlns:r="http://schemas.openxmlformats.org/officeDocument/2006/relationships" name="Synthèse" sheetId="3" state="visible" r:id="rId3"/>
  </sheets>
  <definedNames>
    <definedName name="_xlnm._FilterDatabase" localSheetId="1" hidden="1">'Traçabilité'!$A$3:$K$203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1F2A44"/>
      <sz val="14"/>
    </font>
    <font>
      <name val="Calibri"/>
      <b val="1"/>
      <color rgb="00FFFFFF"/>
    </font>
    <font>
      <name val="Calibri"/>
    </font>
    <font>
      <name val="Calibri"/>
      <b val="1"/>
    </font>
    <font>
      <name val="Calibri"/>
      <b val="1"/>
      <color rgb="001F2A44"/>
    </font>
    <font>
      <name val="Calibri"/>
      <color rgb="00000000"/>
    </font>
  </fonts>
  <fills count="3">
    <fill>
      <patternFill/>
    </fill>
    <fill>
      <patternFill patternType="gray125"/>
    </fill>
    <fill>
      <patternFill patternType="solid">
        <fgColor rgb="001F2A4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0" borderId="1" pivotButton="0" quotePrefix="0" xfId="0"/>
    <xf numFmtId="0" fontId="3" fillId="0" borderId="1" pivotButton="0" quotePrefix="0" xfId="0"/>
    <xf numFmtId="164" fontId="3" fillId="0" borderId="1" pivotButton="0" quotePrefix="0" xfId="0"/>
    <xf numFmtId="164" fontId="3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 d'emploi</t>
        </is>
      </c>
    </row>
    <row r="3">
      <c r="A3" s="2" t="inlineStr">
        <is>
          <t>Objet :</t>
        </is>
      </c>
    </row>
    <row r="4">
      <c r="A4" s="3" t="inlineStr">
        <is>
          <t>Relier chaque exigence du cahier des charges à sa conception, ses tests et son statut.</t>
        </is>
      </c>
    </row>
    <row r="5">
      <c r="A5" s="2" t="inlineStr">
        <is>
          <t>Saisie :</t>
        </is>
      </c>
    </row>
    <row r="6">
      <c r="A6" s="3" t="inlineStr">
        <is>
          <t>1. Onglet Traçabilité : une ligne par couple exigence/test (lignes 4 à 203).</t>
        </is>
      </c>
    </row>
    <row r="7">
      <c r="A7" s="3" t="inlineStr">
        <is>
          <t>2. Priorité, Résultat test et Statut se choisissent dans les listes déroulantes.</t>
        </is>
      </c>
    </row>
    <row r="8">
      <c r="A8" s="3" t="inlineStr">
        <is>
          <t>3. La colonne « Couvert ? » est calculée : Oui si conception ET test renseignés. Ne pas la saisir.</t>
        </is>
      </c>
    </row>
    <row r="9">
      <c r="A9" s="2" t="inlineStr">
        <is>
          <t>Lecture :</t>
        </is>
      </c>
    </row>
    <row r="10">
      <c r="A10" s="3" t="inlineStr">
        <is>
          <t>Onglet Synthèse : taux de couverture et % validé par priorité MoSCoW (COUNTIFS).</t>
        </is>
      </c>
    </row>
    <row r="11">
      <c r="A11" s="3" t="inlineStr">
        <is>
          <t>Couleurs : vert = validé, orange = en cours, rouge = rejeté.</t>
        </is>
      </c>
    </row>
    <row r="12">
      <c r="A12" s="2" t="inlineStr">
        <is>
          <t>Attention :</t>
        </is>
      </c>
    </row>
    <row r="13">
      <c r="A13" s="3" t="inlineStr">
        <is>
          <t>Si une exigence a plusieurs tests (plusieurs lignes), elle est comptée plusieurs fois dans la synthèse.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0" customWidth="1" min="3" max="3"/>
    <col width="12" customWidth="1" min="4" max="4"/>
    <col width="28" customWidth="1" min="5" max="5"/>
    <col width="10" customWidth="1" min="6" max="6"/>
    <col width="32" customWidth="1" min="7" max="7"/>
    <col width="13" customWidth="1" min="8" max="8"/>
    <col width="13" customWidth="1" min="9" max="9"/>
    <col width="10" customWidth="1" min="10" max="10"/>
    <col width="28" customWidth="1" min="11" max="11"/>
  </cols>
  <sheetData>
    <row r="1">
      <c r="A1" s="1" t="inlineStr">
        <is>
          <t>Matrice de traçabilité des exigences</t>
        </is>
      </c>
    </row>
    <row r="3" ht="32" customHeight="1">
      <c r="A3" s="4" t="inlineStr">
        <is>
          <t>ID exigence</t>
        </is>
      </c>
      <c r="B3" s="4" t="inlineStr">
        <is>
          <t>Exigence</t>
        </is>
      </c>
      <c r="C3" s="4" t="inlineStr">
        <is>
          <t>Priorité</t>
        </is>
      </c>
      <c r="D3" s="4" t="inlineStr">
        <is>
          <t>Source (CDC §)</t>
        </is>
      </c>
      <c r="E3" s="4" t="inlineStr">
        <is>
          <t>Élément de conception</t>
        </is>
      </c>
      <c r="F3" s="4" t="inlineStr">
        <is>
          <t>ID test</t>
        </is>
      </c>
      <c r="G3" s="4" t="inlineStr">
        <is>
          <t>Description du test</t>
        </is>
      </c>
      <c r="H3" s="4" t="inlineStr">
        <is>
          <t>Résultat test</t>
        </is>
      </c>
      <c r="I3" s="4" t="inlineStr">
        <is>
          <t>Statut</t>
        </is>
      </c>
      <c r="J3" s="4" t="inlineStr">
        <is>
          <t>Couvert ?</t>
        </is>
      </c>
      <c r="K3" s="4" t="inlineStr">
        <is>
          <t>Commentaire</t>
        </is>
      </c>
    </row>
    <row r="4">
      <c r="A4" s="5" t="inlineStr">
        <is>
          <t>EF-001</t>
        </is>
      </c>
      <c r="B4" s="5" t="inlineStr">
        <is>
          <t>[Le système doit …]</t>
        </is>
      </c>
      <c r="C4" s="5" t="inlineStr">
        <is>
          <t>M</t>
        </is>
      </c>
      <c r="D4" s="5" t="inlineStr">
        <is>
          <t>§5</t>
        </is>
      </c>
      <c r="E4" s="5" t="inlineStr">
        <is>
          <t>[Module A]</t>
        </is>
      </c>
      <c r="F4" s="5" t="inlineStr">
        <is>
          <t>T-001</t>
        </is>
      </c>
      <c r="G4" s="5" t="inlineStr">
        <is>
          <t>[Cas nominal]</t>
        </is>
      </c>
      <c r="H4" s="5" t="inlineStr">
        <is>
          <t>Réussi</t>
        </is>
      </c>
      <c r="I4" s="5" t="inlineStr">
        <is>
          <t>Validé</t>
        </is>
      </c>
      <c r="J4" s="5">
        <f>IF(A4="","",IF(AND(E4&lt;&gt;"",F4&lt;&gt;""),"Oui","Non"))</f>
        <v/>
      </c>
      <c r="K4" s="5" t="n"/>
    </row>
    <row r="5">
      <c r="A5" s="5" t="inlineStr">
        <is>
          <t>EF-002</t>
        </is>
      </c>
      <c r="B5" s="5" t="inlineStr">
        <is>
          <t>[…]</t>
        </is>
      </c>
      <c r="C5" s="5" t="inlineStr">
        <is>
          <t>S</t>
        </is>
      </c>
      <c r="D5" s="5" t="inlineStr">
        <is>
          <t>§5</t>
        </is>
      </c>
      <c r="E5" s="5" t="inlineStr">
        <is>
          <t>[Module B]</t>
        </is>
      </c>
      <c r="F5" s="5" t="inlineStr">
        <is>
          <t>T-002</t>
        </is>
      </c>
      <c r="G5" s="5" t="inlineStr">
        <is>
          <t>[…]</t>
        </is>
      </c>
      <c r="H5" s="5" t="inlineStr">
        <is>
          <t>Échoué</t>
        </is>
      </c>
      <c r="I5" s="5" t="inlineStr">
        <is>
          <t>En cours</t>
        </is>
      </c>
      <c r="J5" s="5">
        <f>IF(A5="","",IF(AND(E5&lt;&gt;"",F5&lt;&gt;""),"Oui","Non"))</f>
        <v/>
      </c>
      <c r="K5" s="5" t="n"/>
    </row>
    <row r="6">
      <c r="A6" s="5" t="inlineStr">
        <is>
          <t>ENF-001</t>
        </is>
      </c>
      <c r="B6" s="5" t="inlineStr">
        <is>
          <t>[Temps de réponse &lt; 2 s]</t>
        </is>
      </c>
      <c r="C6" s="5" t="inlineStr">
        <is>
          <t>M</t>
        </is>
      </c>
      <c r="D6" s="5" t="inlineStr">
        <is>
          <t>§6</t>
        </is>
      </c>
      <c r="E6" s="5" t="inlineStr"/>
      <c r="F6" s="5" t="inlineStr"/>
      <c r="G6" s="5" t="inlineStr"/>
      <c r="H6" s="5" t="inlineStr">
        <is>
          <t>Non exécuté</t>
        </is>
      </c>
      <c r="I6" s="5" t="inlineStr">
        <is>
          <t>À faire</t>
        </is>
      </c>
      <c r="J6" s="5">
        <f>IF(A6="","",IF(AND(E6&lt;&gt;"",F6&lt;&gt;""),"Oui","Non"))</f>
        <v/>
      </c>
      <c r="K6" s="5" t="n"/>
    </row>
    <row r="7">
      <c r="A7" s="5" t="n"/>
      <c r="B7" s="5" t="n"/>
      <c r="C7" s="5" t="n"/>
      <c r="D7" s="5" t="n"/>
      <c r="E7" s="5" t="n"/>
      <c r="F7" s="5" t="n"/>
      <c r="G7" s="5" t="n"/>
      <c r="H7" s="5" t="n"/>
      <c r="I7" s="5" t="n"/>
      <c r="J7" s="5">
        <f>IF(A7="","",IF(AND(E7&lt;&gt;"",F7&lt;&gt;""),"Oui","Non"))</f>
        <v/>
      </c>
      <c r="K7" s="5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>
        <f>IF(A8="","",IF(AND(E8&lt;&gt;"",F8&lt;&gt;""),"Oui","Non"))</f>
        <v/>
      </c>
      <c r="K8" s="5" t="n"/>
    </row>
    <row r="9">
      <c r="A9" s="5" t="n"/>
      <c r="B9" s="5" t="n"/>
      <c r="C9" s="5" t="n"/>
      <c r="D9" s="5" t="n"/>
      <c r="E9" s="5" t="n"/>
      <c r="F9" s="5" t="n"/>
      <c r="G9" s="5" t="n"/>
      <c r="H9" s="5" t="n"/>
      <c r="I9" s="5" t="n"/>
      <c r="J9" s="5">
        <f>IF(A9="","",IF(AND(E9&lt;&gt;"",F9&lt;&gt;""),"Oui","Non"))</f>
        <v/>
      </c>
      <c r="K9" s="5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>
        <f>IF(A10="","",IF(AND(E10&lt;&gt;"",F10&lt;&gt;""),"Oui","Non"))</f>
        <v/>
      </c>
      <c r="K10" s="5" t="n"/>
    </row>
    <row r="11">
      <c r="A11" s="5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>
        <f>IF(A11="","",IF(AND(E11&lt;&gt;"",F11&lt;&gt;""),"Oui","Non"))</f>
        <v/>
      </c>
      <c r="K11" s="5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>
        <f>IF(A12="","",IF(AND(E12&lt;&gt;"",F12&lt;&gt;""),"Oui","Non"))</f>
        <v/>
      </c>
      <c r="K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>
        <f>IF(A13="","",IF(AND(E13&lt;&gt;"",F13&lt;&gt;""),"Oui","Non"))</f>
        <v/>
      </c>
      <c r="K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>
        <f>IF(A14="","",IF(AND(E14&lt;&gt;"",F14&lt;&gt;""),"Oui","Non"))</f>
        <v/>
      </c>
      <c r="K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>
        <f>IF(A15="","",IF(AND(E15&lt;&gt;"",F15&lt;&gt;""),"Oui","Non"))</f>
        <v/>
      </c>
      <c r="K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>
        <f>IF(A16="","",IF(AND(E16&lt;&gt;"",F16&lt;&gt;""),"Oui","Non"))</f>
        <v/>
      </c>
      <c r="K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>
        <f>IF(A17="","",IF(AND(E17&lt;&gt;"",F17&lt;&gt;""),"Oui","Non"))</f>
        <v/>
      </c>
      <c r="K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>
        <f>IF(A18="","",IF(AND(E18&lt;&gt;"",F18&lt;&gt;""),"Oui","Non"))</f>
        <v/>
      </c>
      <c r="K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>
        <f>IF(A19="","",IF(AND(E19&lt;&gt;"",F19&lt;&gt;""),"Oui","Non"))</f>
        <v/>
      </c>
      <c r="K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>
        <f>IF(A20="","",IF(AND(E20&lt;&gt;"",F20&lt;&gt;""),"Oui","Non"))</f>
        <v/>
      </c>
      <c r="K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>
        <f>IF(A21="","",IF(AND(E21&lt;&gt;"",F21&lt;&gt;""),"Oui","Non"))</f>
        <v/>
      </c>
      <c r="K21" s="5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>
        <f>IF(A22="","",IF(AND(E22&lt;&gt;"",F22&lt;&gt;""),"Oui","Non"))</f>
        <v/>
      </c>
      <c r="K22" s="5" t="n"/>
    </row>
    <row r="23">
      <c r="A23" s="5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>
        <f>IF(A23="","",IF(AND(E23&lt;&gt;"",F23&lt;&gt;""),"Oui","Non"))</f>
        <v/>
      </c>
      <c r="K23" s="5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>
        <f>IF(A24="","",IF(AND(E24&lt;&gt;"",F24&lt;&gt;""),"Oui","Non"))</f>
        <v/>
      </c>
      <c r="K24" s="5" t="n"/>
    </row>
    <row r="25">
      <c r="A25" s="5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>
        <f>IF(A25="","",IF(AND(E25&lt;&gt;"",F25&lt;&gt;""),"Oui","Non"))</f>
        <v/>
      </c>
      <c r="K25" s="5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>
        <f>IF(A26="","",IF(AND(E26&lt;&gt;"",F26&lt;&gt;""),"Oui","Non"))</f>
        <v/>
      </c>
      <c r="K26" s="5" t="n"/>
    </row>
    <row r="27">
      <c r="A27" s="5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>
        <f>IF(A27="","",IF(AND(E27&lt;&gt;"",F27&lt;&gt;""),"Oui","Non"))</f>
        <v/>
      </c>
      <c r="K27" s="5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>
        <f>IF(A28="","",IF(AND(E28&lt;&gt;"",F28&lt;&gt;""),"Oui","Non"))</f>
        <v/>
      </c>
      <c r="K28" s="5" t="n"/>
    </row>
    <row r="29">
      <c r="A29" s="5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>
        <f>IF(A29="","",IF(AND(E29&lt;&gt;"",F29&lt;&gt;""),"Oui","Non"))</f>
        <v/>
      </c>
      <c r="K29" s="5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>
        <f>IF(A30="","",IF(AND(E30&lt;&gt;"",F30&lt;&gt;""),"Oui","Non"))</f>
        <v/>
      </c>
      <c r="K30" s="5" t="n"/>
    </row>
    <row r="31">
      <c r="A31" s="5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>
        <f>IF(A31="","",IF(AND(E31&lt;&gt;"",F31&lt;&gt;""),"Oui","Non"))</f>
        <v/>
      </c>
      <c r="K31" s="5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>
        <f>IF(A32="","",IF(AND(E32&lt;&gt;"",F32&lt;&gt;""),"Oui","Non"))</f>
        <v/>
      </c>
      <c r="K32" s="5" t="n"/>
    </row>
    <row r="33">
      <c r="A33" s="5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>
        <f>IF(A33="","",IF(AND(E33&lt;&gt;"",F33&lt;&gt;""),"Oui","Non"))</f>
        <v/>
      </c>
      <c r="K33" s="5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>
        <f>IF(A34="","",IF(AND(E34&lt;&gt;"",F34&lt;&gt;""),"Oui","Non"))</f>
        <v/>
      </c>
      <c r="K34" s="5" t="n"/>
    </row>
    <row r="35">
      <c r="A35" s="5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>
        <f>IF(A35="","",IF(AND(E35&lt;&gt;"",F35&lt;&gt;""),"Oui","Non"))</f>
        <v/>
      </c>
      <c r="K35" s="5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>
        <f>IF(A36="","",IF(AND(E36&lt;&gt;"",F36&lt;&gt;""),"Oui","Non"))</f>
        <v/>
      </c>
      <c r="K36" s="5" t="n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>
        <f>IF(A37="","",IF(AND(E37&lt;&gt;"",F37&lt;&gt;""),"Oui","Non"))</f>
        <v/>
      </c>
      <c r="K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>
        <f>IF(A38="","",IF(AND(E38&lt;&gt;"",F38&lt;&gt;""),"Oui","Non"))</f>
        <v/>
      </c>
      <c r="K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>
        <f>IF(A39="","",IF(AND(E39&lt;&gt;"",F39&lt;&gt;""),"Oui","Non"))</f>
        <v/>
      </c>
      <c r="K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>
        <f>IF(A40="","",IF(AND(E40&lt;&gt;"",F40&lt;&gt;""),"Oui","Non"))</f>
        <v/>
      </c>
      <c r="K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>
        <f>IF(A41="","",IF(AND(E41&lt;&gt;"",F41&lt;&gt;""),"Oui","Non"))</f>
        <v/>
      </c>
      <c r="K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>
        <f>IF(A42="","",IF(AND(E42&lt;&gt;"",F42&lt;&gt;""),"Oui","Non"))</f>
        <v/>
      </c>
      <c r="K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>
        <f>IF(A43="","",IF(AND(E43&lt;&gt;"",F43&lt;&gt;""),"Oui","Non"))</f>
        <v/>
      </c>
      <c r="K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>
        <f>IF(A44="","",IF(AND(E44&lt;&gt;"",F44&lt;&gt;""),"Oui","Non"))</f>
        <v/>
      </c>
      <c r="K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>
        <f>IF(A45="","",IF(AND(E45&lt;&gt;"",F45&lt;&gt;""),"Oui","Non"))</f>
        <v/>
      </c>
      <c r="K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>
        <f>IF(A46="","",IF(AND(E46&lt;&gt;"",F46&lt;&gt;""),"Oui","Non"))</f>
        <v/>
      </c>
      <c r="K46" s="5" t="n"/>
    </row>
    <row r="47">
      <c r="A47" s="5" t="n"/>
      <c r="B47" s="5" t="n"/>
      <c r="C47" s="5" t="n"/>
      <c r="D47" s="5" t="n"/>
      <c r="E47" s="5" t="n"/>
      <c r="F47" s="5" t="n"/>
      <c r="G47" s="5" t="n"/>
      <c r="H47" s="5" t="n"/>
      <c r="I47" s="5" t="n"/>
      <c r="J47" s="5">
        <f>IF(A47="","",IF(AND(E47&lt;&gt;"",F47&lt;&gt;""),"Oui","Non"))</f>
        <v/>
      </c>
      <c r="K47" s="5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>
        <f>IF(A48="","",IF(AND(E48&lt;&gt;"",F48&lt;&gt;""),"Oui","Non"))</f>
        <v/>
      </c>
      <c r="K48" s="5" t="n"/>
    </row>
    <row r="49">
      <c r="A49" s="5" t="n"/>
      <c r="B49" s="5" t="n"/>
      <c r="C49" s="5" t="n"/>
      <c r="D49" s="5" t="n"/>
      <c r="E49" s="5" t="n"/>
      <c r="F49" s="5" t="n"/>
      <c r="G49" s="5" t="n"/>
      <c r="H49" s="5" t="n"/>
      <c r="I49" s="5" t="n"/>
      <c r="J49" s="5">
        <f>IF(A49="","",IF(AND(E49&lt;&gt;"",F49&lt;&gt;""),"Oui","Non"))</f>
        <v/>
      </c>
      <c r="K49" s="5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>
        <f>IF(A50="","",IF(AND(E50&lt;&gt;"",F50&lt;&gt;""),"Oui","Non"))</f>
        <v/>
      </c>
      <c r="K50" s="5" t="n"/>
    </row>
    <row r="51">
      <c r="A51" s="5" t="n"/>
      <c r="B51" s="5" t="n"/>
      <c r="C51" s="5" t="n"/>
      <c r="D51" s="5" t="n"/>
      <c r="E51" s="5" t="n"/>
      <c r="F51" s="5" t="n"/>
      <c r="G51" s="5" t="n"/>
      <c r="H51" s="5" t="n"/>
      <c r="I51" s="5" t="n"/>
      <c r="J51" s="5">
        <f>IF(A51="","",IF(AND(E51&lt;&gt;"",F51&lt;&gt;""),"Oui","Non"))</f>
        <v/>
      </c>
      <c r="K51" s="5" t="n"/>
    </row>
    <row r="52">
      <c r="A52" s="5" t="n"/>
      <c r="B52" s="5" t="n"/>
      <c r="C52" s="5" t="n"/>
      <c r="D52" s="5" t="n"/>
      <c r="E52" s="5" t="n"/>
      <c r="F52" s="5" t="n"/>
      <c r="G52" s="5" t="n"/>
      <c r="H52" s="5" t="n"/>
      <c r="I52" s="5" t="n"/>
      <c r="J52" s="5">
        <f>IF(A52="","",IF(AND(E52&lt;&gt;"",F52&lt;&gt;""),"Oui","Non"))</f>
        <v/>
      </c>
      <c r="K52" s="5" t="n"/>
    </row>
    <row r="53">
      <c r="A53" s="5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>
        <f>IF(A53="","",IF(AND(E53&lt;&gt;"",F53&lt;&gt;""),"Oui","Non"))</f>
        <v/>
      </c>
      <c r="K53" s="5" t="n"/>
    </row>
    <row r="54">
      <c r="A54" s="5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>
        <f>IF(A54="","",IF(AND(E54&lt;&gt;"",F54&lt;&gt;""),"Oui","Non"))</f>
        <v/>
      </c>
      <c r="K54" s="5" t="n"/>
    </row>
    <row r="55">
      <c r="A55" s="5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>
        <f>IF(A55="","",IF(AND(E55&lt;&gt;"",F55&lt;&gt;""),"Oui","Non"))</f>
        <v/>
      </c>
      <c r="K55" s="5" t="n"/>
    </row>
    <row r="56">
      <c r="A56" s="5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>
        <f>IF(A56="","",IF(AND(E56&lt;&gt;"",F56&lt;&gt;""),"Oui","Non"))</f>
        <v/>
      </c>
      <c r="K56" s="5" t="n"/>
    </row>
    <row r="57">
      <c r="A57" s="5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>
        <f>IF(A57="","",IF(AND(E57&lt;&gt;"",F57&lt;&gt;""),"Oui","Non"))</f>
        <v/>
      </c>
      <c r="K57" s="5" t="n"/>
    </row>
    <row r="58">
      <c r="A58" s="5" t="n"/>
      <c r="B58" s="5" t="n"/>
      <c r="C58" s="5" t="n"/>
      <c r="D58" s="5" t="n"/>
      <c r="E58" s="5" t="n"/>
      <c r="F58" s="5" t="n"/>
      <c r="G58" s="5" t="n"/>
      <c r="H58" s="5" t="n"/>
      <c r="I58" s="5" t="n"/>
      <c r="J58" s="5">
        <f>IF(A58="","",IF(AND(E58&lt;&gt;"",F58&lt;&gt;""),"Oui","Non"))</f>
        <v/>
      </c>
      <c r="K58" s="5" t="n"/>
    </row>
    <row r="59">
      <c r="A59" s="5" t="n"/>
      <c r="B59" s="5" t="n"/>
      <c r="C59" s="5" t="n"/>
      <c r="D59" s="5" t="n"/>
      <c r="E59" s="5" t="n"/>
      <c r="F59" s="5" t="n"/>
      <c r="G59" s="5" t="n"/>
      <c r="H59" s="5" t="n"/>
      <c r="I59" s="5" t="n"/>
      <c r="J59" s="5">
        <f>IF(A59="","",IF(AND(E59&lt;&gt;"",F59&lt;&gt;""),"Oui","Non"))</f>
        <v/>
      </c>
      <c r="K59" s="5" t="n"/>
    </row>
    <row r="60">
      <c r="A60" s="5" t="n"/>
      <c r="B60" s="5" t="n"/>
      <c r="C60" s="5" t="n"/>
      <c r="D60" s="5" t="n"/>
      <c r="E60" s="5" t="n"/>
      <c r="F60" s="5" t="n"/>
      <c r="G60" s="5" t="n"/>
      <c r="H60" s="5" t="n"/>
      <c r="I60" s="5" t="n"/>
      <c r="J60" s="5">
        <f>IF(A60="","",IF(AND(E60&lt;&gt;"",F60&lt;&gt;""),"Oui","Non"))</f>
        <v/>
      </c>
      <c r="K60" s="5" t="n"/>
    </row>
    <row r="61">
      <c r="A61" s="5" t="n"/>
      <c r="B61" s="5" t="n"/>
      <c r="C61" s="5" t="n"/>
      <c r="D61" s="5" t="n"/>
      <c r="E61" s="5" t="n"/>
      <c r="F61" s="5" t="n"/>
      <c r="G61" s="5" t="n"/>
      <c r="H61" s="5" t="n"/>
      <c r="I61" s="5" t="n"/>
      <c r="J61" s="5">
        <f>IF(A61="","",IF(AND(E61&lt;&gt;"",F61&lt;&gt;""),"Oui","Non"))</f>
        <v/>
      </c>
      <c r="K61" s="5" t="n"/>
    </row>
    <row r="62">
      <c r="A62" s="5" t="n"/>
      <c r="B62" s="5" t="n"/>
      <c r="C62" s="5" t="n"/>
      <c r="D62" s="5" t="n"/>
      <c r="E62" s="5" t="n"/>
      <c r="F62" s="5" t="n"/>
      <c r="G62" s="5" t="n"/>
      <c r="H62" s="5" t="n"/>
      <c r="I62" s="5" t="n"/>
      <c r="J62" s="5">
        <f>IF(A62="","",IF(AND(E62&lt;&gt;"",F62&lt;&gt;""),"Oui","Non"))</f>
        <v/>
      </c>
      <c r="K62" s="5" t="n"/>
    </row>
    <row r="63">
      <c r="A63" s="5" t="n"/>
      <c r="B63" s="5" t="n"/>
      <c r="C63" s="5" t="n"/>
      <c r="D63" s="5" t="n"/>
      <c r="E63" s="5" t="n"/>
      <c r="F63" s="5" t="n"/>
      <c r="G63" s="5" t="n"/>
      <c r="H63" s="5" t="n"/>
      <c r="I63" s="5" t="n"/>
      <c r="J63" s="5">
        <f>IF(A63="","",IF(AND(E63&lt;&gt;"",F63&lt;&gt;""),"Oui","Non"))</f>
        <v/>
      </c>
      <c r="K63" s="5" t="n"/>
    </row>
    <row r="64">
      <c r="A64" s="5" t="n"/>
      <c r="B64" s="5" t="n"/>
      <c r="C64" s="5" t="n"/>
      <c r="D64" s="5" t="n"/>
      <c r="E64" s="5" t="n"/>
      <c r="F64" s="5" t="n"/>
      <c r="G64" s="5" t="n"/>
      <c r="H64" s="5" t="n"/>
      <c r="I64" s="5" t="n"/>
      <c r="J64" s="5">
        <f>IF(A64="","",IF(AND(E64&lt;&gt;"",F64&lt;&gt;""),"Oui","Non"))</f>
        <v/>
      </c>
      <c r="K64" s="5" t="n"/>
    </row>
    <row r="65">
      <c r="A65" s="5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>
        <f>IF(A65="","",IF(AND(E65&lt;&gt;"",F65&lt;&gt;""),"Oui","Non"))</f>
        <v/>
      </c>
      <c r="K65" s="5" t="n"/>
    </row>
    <row r="66">
      <c r="A66" s="5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>
        <f>IF(A66="","",IF(AND(E66&lt;&gt;"",F66&lt;&gt;""),"Oui","Non"))</f>
        <v/>
      </c>
      <c r="K66" s="5" t="n"/>
    </row>
    <row r="67">
      <c r="A67" s="5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>
        <f>IF(A67="","",IF(AND(E67&lt;&gt;"",F67&lt;&gt;""),"Oui","Non"))</f>
        <v/>
      </c>
      <c r="K67" s="5" t="n"/>
    </row>
    <row r="68">
      <c r="A68" s="5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>
        <f>IF(A68="","",IF(AND(E68&lt;&gt;"",F68&lt;&gt;""),"Oui","Non"))</f>
        <v/>
      </c>
      <c r="K68" s="5" t="n"/>
    </row>
    <row r="69">
      <c r="A69" s="5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>
        <f>IF(A69="","",IF(AND(E69&lt;&gt;"",F69&lt;&gt;""),"Oui","Non"))</f>
        <v/>
      </c>
      <c r="K69" s="5" t="n"/>
    </row>
    <row r="70">
      <c r="A70" s="5" t="n"/>
      <c r="B70" s="5" t="n"/>
      <c r="C70" s="5" t="n"/>
      <c r="D70" s="5" t="n"/>
      <c r="E70" s="5" t="n"/>
      <c r="F70" s="5" t="n"/>
      <c r="G70" s="5" t="n"/>
      <c r="H70" s="5" t="n"/>
      <c r="I70" s="5" t="n"/>
      <c r="J70" s="5">
        <f>IF(A70="","",IF(AND(E70&lt;&gt;"",F70&lt;&gt;""),"Oui","Non"))</f>
        <v/>
      </c>
      <c r="K70" s="5" t="n"/>
    </row>
    <row r="71">
      <c r="A71" s="5" t="n"/>
      <c r="B71" s="5" t="n"/>
      <c r="C71" s="5" t="n"/>
      <c r="D71" s="5" t="n"/>
      <c r="E71" s="5" t="n"/>
      <c r="F71" s="5" t="n"/>
      <c r="G71" s="5" t="n"/>
      <c r="H71" s="5" t="n"/>
      <c r="I71" s="5" t="n"/>
      <c r="J71" s="5">
        <f>IF(A71="","",IF(AND(E71&lt;&gt;"",F71&lt;&gt;""),"Oui","Non"))</f>
        <v/>
      </c>
      <c r="K71" s="5" t="n"/>
    </row>
    <row r="72">
      <c r="A72" s="5" t="n"/>
      <c r="B72" s="5" t="n"/>
      <c r="C72" s="5" t="n"/>
      <c r="D72" s="5" t="n"/>
      <c r="E72" s="5" t="n"/>
      <c r="F72" s="5" t="n"/>
      <c r="G72" s="5" t="n"/>
      <c r="H72" s="5" t="n"/>
      <c r="I72" s="5" t="n"/>
      <c r="J72" s="5">
        <f>IF(A72="","",IF(AND(E72&lt;&gt;"",F72&lt;&gt;""),"Oui","Non"))</f>
        <v/>
      </c>
      <c r="K72" s="5" t="n"/>
    </row>
    <row r="73">
      <c r="A73" s="5" t="n"/>
      <c r="B73" s="5" t="n"/>
      <c r="C73" s="5" t="n"/>
      <c r="D73" s="5" t="n"/>
      <c r="E73" s="5" t="n"/>
      <c r="F73" s="5" t="n"/>
      <c r="G73" s="5" t="n"/>
      <c r="H73" s="5" t="n"/>
      <c r="I73" s="5" t="n"/>
      <c r="J73" s="5">
        <f>IF(A73="","",IF(AND(E73&lt;&gt;"",F73&lt;&gt;""),"Oui","Non"))</f>
        <v/>
      </c>
      <c r="K73" s="5" t="n"/>
    </row>
    <row r="74">
      <c r="A74" s="5" t="n"/>
      <c r="B74" s="5" t="n"/>
      <c r="C74" s="5" t="n"/>
      <c r="D74" s="5" t="n"/>
      <c r="E74" s="5" t="n"/>
      <c r="F74" s="5" t="n"/>
      <c r="G74" s="5" t="n"/>
      <c r="H74" s="5" t="n"/>
      <c r="I74" s="5" t="n"/>
      <c r="J74" s="5">
        <f>IF(A74="","",IF(AND(E74&lt;&gt;"",F74&lt;&gt;""),"Oui","Non"))</f>
        <v/>
      </c>
      <c r="K74" s="5" t="n"/>
    </row>
    <row r="75">
      <c r="A75" s="5" t="n"/>
      <c r="B75" s="5" t="n"/>
      <c r="C75" s="5" t="n"/>
      <c r="D75" s="5" t="n"/>
      <c r="E75" s="5" t="n"/>
      <c r="F75" s="5" t="n"/>
      <c r="G75" s="5" t="n"/>
      <c r="H75" s="5" t="n"/>
      <c r="I75" s="5" t="n"/>
      <c r="J75" s="5">
        <f>IF(A75="","",IF(AND(E75&lt;&gt;"",F75&lt;&gt;""),"Oui","Non"))</f>
        <v/>
      </c>
      <c r="K75" s="5" t="n"/>
    </row>
    <row r="76">
      <c r="A76" s="5" t="n"/>
      <c r="B76" s="5" t="n"/>
      <c r="C76" s="5" t="n"/>
      <c r="D76" s="5" t="n"/>
      <c r="E76" s="5" t="n"/>
      <c r="F76" s="5" t="n"/>
      <c r="G76" s="5" t="n"/>
      <c r="H76" s="5" t="n"/>
      <c r="I76" s="5" t="n"/>
      <c r="J76" s="5">
        <f>IF(A76="","",IF(AND(E76&lt;&gt;"",F76&lt;&gt;""),"Oui","Non"))</f>
        <v/>
      </c>
      <c r="K76" s="5" t="n"/>
    </row>
    <row r="77">
      <c r="A77" s="5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>
        <f>IF(A77="","",IF(AND(E77&lt;&gt;"",F77&lt;&gt;""),"Oui","Non"))</f>
        <v/>
      </c>
      <c r="K77" s="5" t="n"/>
    </row>
    <row r="78">
      <c r="A78" s="5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>
        <f>IF(A78="","",IF(AND(E78&lt;&gt;"",F78&lt;&gt;""),"Oui","Non"))</f>
        <v/>
      </c>
      <c r="K78" s="5" t="n"/>
    </row>
    <row r="79">
      <c r="A79" s="5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>
        <f>IF(A79="","",IF(AND(E79&lt;&gt;"",F79&lt;&gt;""),"Oui","Non"))</f>
        <v/>
      </c>
      <c r="K79" s="5" t="n"/>
    </row>
    <row r="80">
      <c r="A80" s="5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>
        <f>IF(A80="","",IF(AND(E80&lt;&gt;"",F80&lt;&gt;""),"Oui","Non"))</f>
        <v/>
      </c>
      <c r="K80" s="5" t="n"/>
    </row>
    <row r="81">
      <c r="A81" s="5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>
        <f>IF(A81="","",IF(AND(E81&lt;&gt;"",F81&lt;&gt;""),"Oui","Non"))</f>
        <v/>
      </c>
      <c r="K81" s="5" t="n"/>
    </row>
    <row r="82">
      <c r="A82" s="5" t="n"/>
      <c r="B82" s="5" t="n"/>
      <c r="C82" s="5" t="n"/>
      <c r="D82" s="5" t="n"/>
      <c r="E82" s="5" t="n"/>
      <c r="F82" s="5" t="n"/>
      <c r="G82" s="5" t="n"/>
      <c r="H82" s="5" t="n"/>
      <c r="I82" s="5" t="n"/>
      <c r="J82" s="5">
        <f>IF(A82="","",IF(AND(E82&lt;&gt;"",F82&lt;&gt;""),"Oui","Non"))</f>
        <v/>
      </c>
      <c r="K82" s="5" t="n"/>
    </row>
    <row r="83">
      <c r="A83" s="5" t="n"/>
      <c r="B83" s="5" t="n"/>
      <c r="C83" s="5" t="n"/>
      <c r="D83" s="5" t="n"/>
      <c r="E83" s="5" t="n"/>
      <c r="F83" s="5" t="n"/>
      <c r="G83" s="5" t="n"/>
      <c r="H83" s="5" t="n"/>
      <c r="I83" s="5" t="n"/>
      <c r="J83" s="5">
        <f>IF(A83="","",IF(AND(E83&lt;&gt;"",F83&lt;&gt;""),"Oui","Non"))</f>
        <v/>
      </c>
      <c r="K83" s="5" t="n"/>
    </row>
    <row r="84">
      <c r="A84" s="5" t="n"/>
      <c r="B84" s="5" t="n"/>
      <c r="C84" s="5" t="n"/>
      <c r="D84" s="5" t="n"/>
      <c r="E84" s="5" t="n"/>
      <c r="F84" s="5" t="n"/>
      <c r="G84" s="5" t="n"/>
      <c r="H84" s="5" t="n"/>
      <c r="I84" s="5" t="n"/>
      <c r="J84" s="5">
        <f>IF(A84="","",IF(AND(E84&lt;&gt;"",F84&lt;&gt;""),"Oui","Non"))</f>
        <v/>
      </c>
      <c r="K84" s="5" t="n"/>
    </row>
    <row r="85">
      <c r="A85" s="5" t="n"/>
      <c r="B85" s="5" t="n"/>
      <c r="C85" s="5" t="n"/>
      <c r="D85" s="5" t="n"/>
      <c r="E85" s="5" t="n"/>
      <c r="F85" s="5" t="n"/>
      <c r="G85" s="5" t="n"/>
      <c r="H85" s="5" t="n"/>
      <c r="I85" s="5" t="n"/>
      <c r="J85" s="5">
        <f>IF(A85="","",IF(AND(E85&lt;&gt;"",F85&lt;&gt;""),"Oui","Non"))</f>
        <v/>
      </c>
      <c r="K85" s="5" t="n"/>
    </row>
    <row r="86">
      <c r="A86" s="5" t="n"/>
      <c r="B86" s="5" t="n"/>
      <c r="C86" s="5" t="n"/>
      <c r="D86" s="5" t="n"/>
      <c r="E86" s="5" t="n"/>
      <c r="F86" s="5" t="n"/>
      <c r="G86" s="5" t="n"/>
      <c r="H86" s="5" t="n"/>
      <c r="I86" s="5" t="n"/>
      <c r="J86" s="5">
        <f>IF(A86="","",IF(AND(E86&lt;&gt;"",F86&lt;&gt;""),"Oui","Non"))</f>
        <v/>
      </c>
      <c r="K86" s="5" t="n"/>
    </row>
    <row r="87">
      <c r="A87" s="5" t="n"/>
      <c r="B87" s="5" t="n"/>
      <c r="C87" s="5" t="n"/>
      <c r="D87" s="5" t="n"/>
      <c r="E87" s="5" t="n"/>
      <c r="F87" s="5" t="n"/>
      <c r="G87" s="5" t="n"/>
      <c r="H87" s="5" t="n"/>
      <c r="I87" s="5" t="n"/>
      <c r="J87" s="5">
        <f>IF(A87="","",IF(AND(E87&lt;&gt;"",F87&lt;&gt;""),"Oui","Non"))</f>
        <v/>
      </c>
      <c r="K87" s="5" t="n"/>
    </row>
    <row r="88">
      <c r="A88" s="5" t="n"/>
      <c r="B88" s="5" t="n"/>
      <c r="C88" s="5" t="n"/>
      <c r="D88" s="5" t="n"/>
      <c r="E88" s="5" t="n"/>
      <c r="F88" s="5" t="n"/>
      <c r="G88" s="5" t="n"/>
      <c r="H88" s="5" t="n"/>
      <c r="I88" s="5" t="n"/>
      <c r="J88" s="5">
        <f>IF(A88="","",IF(AND(E88&lt;&gt;"",F88&lt;&gt;""),"Oui","Non"))</f>
        <v/>
      </c>
      <c r="K88" s="5" t="n"/>
    </row>
    <row r="89">
      <c r="A89" s="5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>
        <f>IF(A89="","",IF(AND(E89&lt;&gt;"",F89&lt;&gt;""),"Oui","Non"))</f>
        <v/>
      </c>
      <c r="K89" s="5" t="n"/>
    </row>
    <row r="90">
      <c r="A90" s="5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>
        <f>IF(A90="","",IF(AND(E90&lt;&gt;"",F90&lt;&gt;""),"Oui","Non"))</f>
        <v/>
      </c>
      <c r="K90" s="5" t="n"/>
    </row>
    <row r="91">
      <c r="A91" s="5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>
        <f>IF(A91="","",IF(AND(E91&lt;&gt;"",F91&lt;&gt;""),"Oui","Non"))</f>
        <v/>
      </c>
      <c r="K91" s="5" t="n"/>
    </row>
    <row r="92">
      <c r="A92" s="5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>
        <f>IF(A92="","",IF(AND(E92&lt;&gt;"",F92&lt;&gt;""),"Oui","Non"))</f>
        <v/>
      </c>
      <c r="K92" s="5" t="n"/>
    </row>
    <row r="93">
      <c r="A93" s="5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>
        <f>IF(A93="","",IF(AND(E93&lt;&gt;"",F93&lt;&gt;""),"Oui","Non"))</f>
        <v/>
      </c>
      <c r="K93" s="5" t="n"/>
    </row>
    <row r="94">
      <c r="A94" s="5" t="n"/>
      <c r="B94" s="5" t="n"/>
      <c r="C94" s="5" t="n"/>
      <c r="D94" s="5" t="n"/>
      <c r="E94" s="5" t="n"/>
      <c r="F94" s="5" t="n"/>
      <c r="G94" s="5" t="n"/>
      <c r="H94" s="5" t="n"/>
      <c r="I94" s="5" t="n"/>
      <c r="J94" s="5">
        <f>IF(A94="","",IF(AND(E94&lt;&gt;"",F94&lt;&gt;""),"Oui","Non"))</f>
        <v/>
      </c>
      <c r="K94" s="5" t="n"/>
    </row>
    <row r="95">
      <c r="A95" s="5" t="n"/>
      <c r="B95" s="5" t="n"/>
      <c r="C95" s="5" t="n"/>
      <c r="D95" s="5" t="n"/>
      <c r="E95" s="5" t="n"/>
      <c r="F95" s="5" t="n"/>
      <c r="G95" s="5" t="n"/>
      <c r="H95" s="5" t="n"/>
      <c r="I95" s="5" t="n"/>
      <c r="J95" s="5">
        <f>IF(A95="","",IF(AND(E95&lt;&gt;"",F95&lt;&gt;""),"Oui","Non"))</f>
        <v/>
      </c>
      <c r="K95" s="5" t="n"/>
    </row>
    <row r="96">
      <c r="A96" s="5" t="n"/>
      <c r="B96" s="5" t="n"/>
      <c r="C96" s="5" t="n"/>
      <c r="D96" s="5" t="n"/>
      <c r="E96" s="5" t="n"/>
      <c r="F96" s="5" t="n"/>
      <c r="G96" s="5" t="n"/>
      <c r="H96" s="5" t="n"/>
      <c r="I96" s="5" t="n"/>
      <c r="J96" s="5">
        <f>IF(A96="","",IF(AND(E96&lt;&gt;"",F96&lt;&gt;""),"Oui","Non"))</f>
        <v/>
      </c>
      <c r="K96" s="5" t="n"/>
    </row>
    <row r="97">
      <c r="A97" s="5" t="n"/>
      <c r="B97" s="5" t="n"/>
      <c r="C97" s="5" t="n"/>
      <c r="D97" s="5" t="n"/>
      <c r="E97" s="5" t="n"/>
      <c r="F97" s="5" t="n"/>
      <c r="G97" s="5" t="n"/>
      <c r="H97" s="5" t="n"/>
      <c r="I97" s="5" t="n"/>
      <c r="J97" s="5">
        <f>IF(A97="","",IF(AND(E97&lt;&gt;"",F97&lt;&gt;""),"Oui","Non"))</f>
        <v/>
      </c>
      <c r="K97" s="5" t="n"/>
    </row>
    <row r="98">
      <c r="A98" s="5" t="n"/>
      <c r="B98" s="5" t="n"/>
      <c r="C98" s="5" t="n"/>
      <c r="D98" s="5" t="n"/>
      <c r="E98" s="5" t="n"/>
      <c r="F98" s="5" t="n"/>
      <c r="G98" s="5" t="n"/>
      <c r="H98" s="5" t="n"/>
      <c r="I98" s="5" t="n"/>
      <c r="J98" s="5">
        <f>IF(A98="","",IF(AND(E98&lt;&gt;"",F98&lt;&gt;""),"Oui","Non"))</f>
        <v/>
      </c>
      <c r="K98" s="5" t="n"/>
    </row>
    <row r="99">
      <c r="A99" s="5" t="n"/>
      <c r="B99" s="5" t="n"/>
      <c r="C99" s="5" t="n"/>
      <c r="D99" s="5" t="n"/>
      <c r="E99" s="5" t="n"/>
      <c r="F99" s="5" t="n"/>
      <c r="G99" s="5" t="n"/>
      <c r="H99" s="5" t="n"/>
      <c r="I99" s="5" t="n"/>
      <c r="J99" s="5">
        <f>IF(A99="","",IF(AND(E99&lt;&gt;"",F99&lt;&gt;""),"Oui","Non"))</f>
        <v/>
      </c>
      <c r="K99" s="5" t="n"/>
    </row>
    <row r="100">
      <c r="A100" s="5" t="n"/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>
        <f>IF(A100="","",IF(AND(E100&lt;&gt;"",F100&lt;&gt;""),"Oui","Non"))</f>
        <v/>
      </c>
      <c r="K100" s="5" t="n"/>
    </row>
    <row r="101">
      <c r="A101" s="5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>
        <f>IF(A101="","",IF(AND(E101&lt;&gt;"",F101&lt;&gt;""),"Oui","Non"))</f>
        <v/>
      </c>
      <c r="K101" s="5" t="n"/>
    </row>
    <row r="102">
      <c r="A102" s="5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>
        <f>IF(A102="","",IF(AND(E102&lt;&gt;"",F102&lt;&gt;""),"Oui","Non"))</f>
        <v/>
      </c>
      <c r="K102" s="5" t="n"/>
    </row>
    <row r="103">
      <c r="A103" s="5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>
        <f>IF(A103="","",IF(AND(E103&lt;&gt;"",F103&lt;&gt;""),"Oui","Non"))</f>
        <v/>
      </c>
      <c r="K103" s="5" t="n"/>
    </row>
    <row r="104">
      <c r="A104" s="5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>
        <f>IF(A104="","",IF(AND(E104&lt;&gt;"",F104&lt;&gt;""),"Oui","Non"))</f>
        <v/>
      </c>
      <c r="K104" s="5" t="n"/>
    </row>
    <row r="105">
      <c r="A105" s="5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>
        <f>IF(A105="","",IF(AND(E105&lt;&gt;"",F105&lt;&gt;""),"Oui","Non"))</f>
        <v/>
      </c>
      <c r="K105" s="5" t="n"/>
    </row>
    <row r="106">
      <c r="A106" s="5" t="n"/>
      <c r="B106" s="5" t="n"/>
      <c r="C106" s="5" t="n"/>
      <c r="D106" s="5" t="n"/>
      <c r="E106" s="5" t="n"/>
      <c r="F106" s="5" t="n"/>
      <c r="G106" s="5" t="n"/>
      <c r="H106" s="5" t="n"/>
      <c r="I106" s="5" t="n"/>
      <c r="J106" s="5">
        <f>IF(A106="","",IF(AND(E106&lt;&gt;"",F106&lt;&gt;""),"Oui","Non"))</f>
        <v/>
      </c>
      <c r="K106" s="5" t="n"/>
    </row>
    <row r="107">
      <c r="A107" s="5" t="n"/>
      <c r="B107" s="5" t="n"/>
      <c r="C107" s="5" t="n"/>
      <c r="D107" s="5" t="n"/>
      <c r="E107" s="5" t="n"/>
      <c r="F107" s="5" t="n"/>
      <c r="G107" s="5" t="n"/>
      <c r="H107" s="5" t="n"/>
      <c r="I107" s="5" t="n"/>
      <c r="J107" s="5">
        <f>IF(A107="","",IF(AND(E107&lt;&gt;"",F107&lt;&gt;""),"Oui","Non"))</f>
        <v/>
      </c>
      <c r="K107" s="5" t="n"/>
    </row>
    <row r="108">
      <c r="A108" s="5" t="n"/>
      <c r="B108" s="5" t="n"/>
      <c r="C108" s="5" t="n"/>
      <c r="D108" s="5" t="n"/>
      <c r="E108" s="5" t="n"/>
      <c r="F108" s="5" t="n"/>
      <c r="G108" s="5" t="n"/>
      <c r="H108" s="5" t="n"/>
      <c r="I108" s="5" t="n"/>
      <c r="J108" s="5">
        <f>IF(A108="","",IF(AND(E108&lt;&gt;"",F108&lt;&gt;""),"Oui","Non"))</f>
        <v/>
      </c>
      <c r="K108" s="5" t="n"/>
    </row>
    <row r="109">
      <c r="A109" s="5" t="n"/>
      <c r="B109" s="5" t="n"/>
      <c r="C109" s="5" t="n"/>
      <c r="D109" s="5" t="n"/>
      <c r="E109" s="5" t="n"/>
      <c r="F109" s="5" t="n"/>
      <c r="G109" s="5" t="n"/>
      <c r="H109" s="5" t="n"/>
      <c r="I109" s="5" t="n"/>
      <c r="J109" s="5">
        <f>IF(A109="","",IF(AND(E109&lt;&gt;"",F109&lt;&gt;""),"Oui","Non"))</f>
        <v/>
      </c>
      <c r="K109" s="5" t="n"/>
    </row>
    <row r="110">
      <c r="A110" s="5" t="n"/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>
        <f>IF(A110="","",IF(AND(E110&lt;&gt;"",F110&lt;&gt;""),"Oui","Non"))</f>
        <v/>
      </c>
      <c r="K110" s="5" t="n"/>
    </row>
    <row r="111">
      <c r="A111" s="5" t="n"/>
      <c r="B111" s="5" t="n"/>
      <c r="C111" s="5" t="n"/>
      <c r="D111" s="5" t="n"/>
      <c r="E111" s="5" t="n"/>
      <c r="F111" s="5" t="n"/>
      <c r="G111" s="5" t="n"/>
      <c r="H111" s="5" t="n"/>
      <c r="I111" s="5" t="n"/>
      <c r="J111" s="5">
        <f>IF(A111="","",IF(AND(E111&lt;&gt;"",F111&lt;&gt;""),"Oui","Non"))</f>
        <v/>
      </c>
      <c r="K111" s="5" t="n"/>
    </row>
    <row r="112">
      <c r="A112" s="5" t="n"/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>
        <f>IF(A112="","",IF(AND(E112&lt;&gt;"",F112&lt;&gt;""),"Oui","Non"))</f>
        <v/>
      </c>
      <c r="K112" s="5" t="n"/>
    </row>
    <row r="113">
      <c r="A113" s="5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>
        <f>IF(A113="","",IF(AND(E113&lt;&gt;"",F113&lt;&gt;""),"Oui","Non"))</f>
        <v/>
      </c>
      <c r="K113" s="5" t="n"/>
    </row>
    <row r="114">
      <c r="A114" s="5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>
        <f>IF(A114="","",IF(AND(E114&lt;&gt;"",F114&lt;&gt;""),"Oui","Non"))</f>
        <v/>
      </c>
      <c r="K114" s="5" t="n"/>
    </row>
    <row r="115">
      <c r="A115" s="5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>
        <f>IF(A115="","",IF(AND(E115&lt;&gt;"",F115&lt;&gt;""),"Oui","Non"))</f>
        <v/>
      </c>
      <c r="K115" s="5" t="n"/>
    </row>
    <row r="116">
      <c r="A116" s="5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>
        <f>IF(A116="","",IF(AND(E116&lt;&gt;"",F116&lt;&gt;""),"Oui","Non"))</f>
        <v/>
      </c>
      <c r="K116" s="5" t="n"/>
    </row>
    <row r="117">
      <c r="A117" s="5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>
        <f>IF(A117="","",IF(AND(E117&lt;&gt;"",F117&lt;&gt;""),"Oui","Non"))</f>
        <v/>
      </c>
      <c r="K117" s="5" t="n"/>
    </row>
    <row r="118">
      <c r="A118" s="5" t="n"/>
      <c r="B118" s="5" t="n"/>
      <c r="C118" s="5" t="n"/>
      <c r="D118" s="5" t="n"/>
      <c r="E118" s="5" t="n"/>
      <c r="F118" s="5" t="n"/>
      <c r="G118" s="5" t="n"/>
      <c r="H118" s="5" t="n"/>
      <c r="I118" s="5" t="n"/>
      <c r="J118" s="5">
        <f>IF(A118="","",IF(AND(E118&lt;&gt;"",F118&lt;&gt;""),"Oui","Non"))</f>
        <v/>
      </c>
      <c r="K118" s="5" t="n"/>
    </row>
    <row r="119">
      <c r="A119" s="5" t="n"/>
      <c r="B119" s="5" t="n"/>
      <c r="C119" s="5" t="n"/>
      <c r="D119" s="5" t="n"/>
      <c r="E119" s="5" t="n"/>
      <c r="F119" s="5" t="n"/>
      <c r="G119" s="5" t="n"/>
      <c r="H119" s="5" t="n"/>
      <c r="I119" s="5" t="n"/>
      <c r="J119" s="5">
        <f>IF(A119="","",IF(AND(E119&lt;&gt;"",F119&lt;&gt;""),"Oui","Non"))</f>
        <v/>
      </c>
      <c r="K119" s="5" t="n"/>
    </row>
    <row r="120">
      <c r="A120" s="5" t="n"/>
      <c r="B120" s="5" t="n"/>
      <c r="C120" s="5" t="n"/>
      <c r="D120" s="5" t="n"/>
      <c r="E120" s="5" t="n"/>
      <c r="F120" s="5" t="n"/>
      <c r="G120" s="5" t="n"/>
      <c r="H120" s="5" t="n"/>
      <c r="I120" s="5" t="n"/>
      <c r="J120" s="5">
        <f>IF(A120="","",IF(AND(E120&lt;&gt;"",F120&lt;&gt;""),"Oui","Non"))</f>
        <v/>
      </c>
      <c r="K120" s="5" t="n"/>
    </row>
    <row r="121">
      <c r="A121" s="5" t="n"/>
      <c r="B121" s="5" t="n"/>
      <c r="C121" s="5" t="n"/>
      <c r="D121" s="5" t="n"/>
      <c r="E121" s="5" t="n"/>
      <c r="F121" s="5" t="n"/>
      <c r="G121" s="5" t="n"/>
      <c r="H121" s="5" t="n"/>
      <c r="I121" s="5" t="n"/>
      <c r="J121" s="5">
        <f>IF(A121="","",IF(AND(E121&lt;&gt;"",F121&lt;&gt;""),"Oui","Non"))</f>
        <v/>
      </c>
      <c r="K121" s="5" t="n"/>
    </row>
    <row r="122">
      <c r="A122" s="5" t="n"/>
      <c r="B122" s="5" t="n"/>
      <c r="C122" s="5" t="n"/>
      <c r="D122" s="5" t="n"/>
      <c r="E122" s="5" t="n"/>
      <c r="F122" s="5" t="n"/>
      <c r="G122" s="5" t="n"/>
      <c r="H122" s="5" t="n"/>
      <c r="I122" s="5" t="n"/>
      <c r="J122" s="5">
        <f>IF(A122="","",IF(AND(E122&lt;&gt;"",F122&lt;&gt;""),"Oui","Non"))</f>
        <v/>
      </c>
      <c r="K122" s="5" t="n"/>
    </row>
    <row r="123">
      <c r="A123" s="5" t="n"/>
      <c r="B123" s="5" t="n"/>
      <c r="C123" s="5" t="n"/>
      <c r="D123" s="5" t="n"/>
      <c r="E123" s="5" t="n"/>
      <c r="F123" s="5" t="n"/>
      <c r="G123" s="5" t="n"/>
      <c r="H123" s="5" t="n"/>
      <c r="I123" s="5" t="n"/>
      <c r="J123" s="5">
        <f>IF(A123="","",IF(AND(E123&lt;&gt;"",F123&lt;&gt;""),"Oui","Non"))</f>
        <v/>
      </c>
      <c r="K123" s="5" t="n"/>
    </row>
    <row r="124">
      <c r="A124" s="5" t="n"/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>
        <f>IF(A124="","",IF(AND(E124&lt;&gt;"",F124&lt;&gt;""),"Oui","Non"))</f>
        <v/>
      </c>
      <c r="K124" s="5" t="n"/>
    </row>
    <row r="125">
      <c r="A125" s="5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>
        <f>IF(A125="","",IF(AND(E125&lt;&gt;"",F125&lt;&gt;""),"Oui","Non"))</f>
        <v/>
      </c>
      <c r="K125" s="5" t="n"/>
    </row>
    <row r="126">
      <c r="A126" s="5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>
        <f>IF(A126="","",IF(AND(E126&lt;&gt;"",F126&lt;&gt;""),"Oui","Non"))</f>
        <v/>
      </c>
      <c r="K126" s="5" t="n"/>
    </row>
    <row r="127">
      <c r="A127" s="5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>
        <f>IF(A127="","",IF(AND(E127&lt;&gt;"",F127&lt;&gt;""),"Oui","Non"))</f>
        <v/>
      </c>
      <c r="K127" s="5" t="n"/>
    </row>
    <row r="128">
      <c r="A128" s="5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>
        <f>IF(A128="","",IF(AND(E128&lt;&gt;"",F128&lt;&gt;""),"Oui","Non"))</f>
        <v/>
      </c>
      <c r="K128" s="5" t="n"/>
    </row>
    <row r="129">
      <c r="A129" s="5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>
        <f>IF(A129="","",IF(AND(E129&lt;&gt;"",F129&lt;&gt;""),"Oui","Non"))</f>
        <v/>
      </c>
      <c r="K129" s="5" t="n"/>
    </row>
    <row r="130">
      <c r="A130" s="5" t="n"/>
      <c r="B130" s="5" t="n"/>
      <c r="C130" s="5" t="n"/>
      <c r="D130" s="5" t="n"/>
      <c r="E130" s="5" t="n"/>
      <c r="F130" s="5" t="n"/>
      <c r="G130" s="5" t="n"/>
      <c r="H130" s="5" t="n"/>
      <c r="I130" s="5" t="n"/>
      <c r="J130" s="5">
        <f>IF(A130="","",IF(AND(E130&lt;&gt;"",F130&lt;&gt;""),"Oui","Non"))</f>
        <v/>
      </c>
      <c r="K130" s="5" t="n"/>
    </row>
    <row r="131">
      <c r="A131" s="5" t="n"/>
      <c r="B131" s="5" t="n"/>
      <c r="C131" s="5" t="n"/>
      <c r="D131" s="5" t="n"/>
      <c r="E131" s="5" t="n"/>
      <c r="F131" s="5" t="n"/>
      <c r="G131" s="5" t="n"/>
      <c r="H131" s="5" t="n"/>
      <c r="I131" s="5" t="n"/>
      <c r="J131" s="5">
        <f>IF(A131="","",IF(AND(E131&lt;&gt;"",F131&lt;&gt;""),"Oui","Non"))</f>
        <v/>
      </c>
      <c r="K131" s="5" t="n"/>
    </row>
    <row r="132">
      <c r="A132" s="5" t="n"/>
      <c r="B132" s="5" t="n"/>
      <c r="C132" s="5" t="n"/>
      <c r="D132" s="5" t="n"/>
      <c r="E132" s="5" t="n"/>
      <c r="F132" s="5" t="n"/>
      <c r="G132" s="5" t="n"/>
      <c r="H132" s="5" t="n"/>
      <c r="I132" s="5" t="n"/>
      <c r="J132" s="5">
        <f>IF(A132="","",IF(AND(E132&lt;&gt;"",F132&lt;&gt;""),"Oui","Non"))</f>
        <v/>
      </c>
      <c r="K132" s="5" t="n"/>
    </row>
    <row r="133">
      <c r="A133" s="5" t="n"/>
      <c r="B133" s="5" t="n"/>
      <c r="C133" s="5" t="n"/>
      <c r="D133" s="5" t="n"/>
      <c r="E133" s="5" t="n"/>
      <c r="F133" s="5" t="n"/>
      <c r="G133" s="5" t="n"/>
      <c r="H133" s="5" t="n"/>
      <c r="I133" s="5" t="n"/>
      <c r="J133" s="5">
        <f>IF(A133="","",IF(AND(E133&lt;&gt;"",F133&lt;&gt;""),"Oui","Non"))</f>
        <v/>
      </c>
      <c r="K133" s="5" t="n"/>
    </row>
    <row r="134">
      <c r="A134" s="5" t="n"/>
      <c r="B134" s="5" t="n"/>
      <c r="C134" s="5" t="n"/>
      <c r="D134" s="5" t="n"/>
      <c r="E134" s="5" t="n"/>
      <c r="F134" s="5" t="n"/>
      <c r="G134" s="5" t="n"/>
      <c r="H134" s="5" t="n"/>
      <c r="I134" s="5" t="n"/>
      <c r="J134" s="5">
        <f>IF(A134="","",IF(AND(E134&lt;&gt;"",F134&lt;&gt;""),"Oui","Non"))</f>
        <v/>
      </c>
      <c r="K134" s="5" t="n"/>
    </row>
    <row r="135">
      <c r="A135" s="5" t="n"/>
      <c r="B135" s="5" t="n"/>
      <c r="C135" s="5" t="n"/>
      <c r="D135" s="5" t="n"/>
      <c r="E135" s="5" t="n"/>
      <c r="F135" s="5" t="n"/>
      <c r="G135" s="5" t="n"/>
      <c r="H135" s="5" t="n"/>
      <c r="I135" s="5" t="n"/>
      <c r="J135" s="5">
        <f>IF(A135="","",IF(AND(E135&lt;&gt;"",F135&lt;&gt;""),"Oui","Non"))</f>
        <v/>
      </c>
      <c r="K135" s="5" t="n"/>
    </row>
    <row r="136">
      <c r="A136" s="5" t="n"/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>
        <f>IF(A136="","",IF(AND(E136&lt;&gt;"",F136&lt;&gt;""),"Oui","Non"))</f>
        <v/>
      </c>
      <c r="K136" s="5" t="n"/>
    </row>
    <row r="137">
      <c r="A137" s="5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>
        <f>IF(A137="","",IF(AND(E137&lt;&gt;"",F137&lt;&gt;""),"Oui","Non"))</f>
        <v/>
      </c>
      <c r="K137" s="5" t="n"/>
    </row>
    <row r="138">
      <c r="A138" s="5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>
        <f>IF(A138="","",IF(AND(E138&lt;&gt;"",F138&lt;&gt;""),"Oui","Non"))</f>
        <v/>
      </c>
      <c r="K138" s="5" t="n"/>
    </row>
    <row r="139">
      <c r="A139" s="5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>
        <f>IF(A139="","",IF(AND(E139&lt;&gt;"",F139&lt;&gt;""),"Oui","Non"))</f>
        <v/>
      </c>
      <c r="K139" s="5" t="n"/>
    </row>
    <row r="140">
      <c r="A140" s="5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>
        <f>IF(A140="","",IF(AND(E140&lt;&gt;"",F140&lt;&gt;""),"Oui","Non"))</f>
        <v/>
      </c>
      <c r="K140" s="5" t="n"/>
    </row>
    <row r="141">
      <c r="A141" s="5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>
        <f>IF(A141="","",IF(AND(E141&lt;&gt;"",F141&lt;&gt;""),"Oui","Non"))</f>
        <v/>
      </c>
      <c r="K141" s="5" t="n"/>
    </row>
    <row r="142">
      <c r="A142" s="5" t="n"/>
      <c r="B142" s="5" t="n"/>
      <c r="C142" s="5" t="n"/>
      <c r="D142" s="5" t="n"/>
      <c r="E142" s="5" t="n"/>
      <c r="F142" s="5" t="n"/>
      <c r="G142" s="5" t="n"/>
      <c r="H142" s="5" t="n"/>
      <c r="I142" s="5" t="n"/>
      <c r="J142" s="5">
        <f>IF(A142="","",IF(AND(E142&lt;&gt;"",F142&lt;&gt;""),"Oui","Non"))</f>
        <v/>
      </c>
      <c r="K142" s="5" t="n"/>
    </row>
    <row r="143">
      <c r="A143" s="5" t="n"/>
      <c r="B143" s="5" t="n"/>
      <c r="C143" s="5" t="n"/>
      <c r="D143" s="5" t="n"/>
      <c r="E143" s="5" t="n"/>
      <c r="F143" s="5" t="n"/>
      <c r="G143" s="5" t="n"/>
      <c r="H143" s="5" t="n"/>
      <c r="I143" s="5" t="n"/>
      <c r="J143" s="5">
        <f>IF(A143="","",IF(AND(E143&lt;&gt;"",F143&lt;&gt;""),"Oui","Non"))</f>
        <v/>
      </c>
      <c r="K143" s="5" t="n"/>
    </row>
    <row r="144">
      <c r="A144" s="5" t="n"/>
      <c r="B144" s="5" t="n"/>
      <c r="C144" s="5" t="n"/>
      <c r="D144" s="5" t="n"/>
      <c r="E144" s="5" t="n"/>
      <c r="F144" s="5" t="n"/>
      <c r="G144" s="5" t="n"/>
      <c r="H144" s="5" t="n"/>
      <c r="I144" s="5" t="n"/>
      <c r="J144" s="5">
        <f>IF(A144="","",IF(AND(E144&lt;&gt;"",F144&lt;&gt;""),"Oui","Non"))</f>
        <v/>
      </c>
      <c r="K144" s="5" t="n"/>
    </row>
    <row r="145">
      <c r="A145" s="5" t="n"/>
      <c r="B145" s="5" t="n"/>
      <c r="C145" s="5" t="n"/>
      <c r="D145" s="5" t="n"/>
      <c r="E145" s="5" t="n"/>
      <c r="F145" s="5" t="n"/>
      <c r="G145" s="5" t="n"/>
      <c r="H145" s="5" t="n"/>
      <c r="I145" s="5" t="n"/>
      <c r="J145" s="5">
        <f>IF(A145="","",IF(AND(E145&lt;&gt;"",F145&lt;&gt;""),"Oui","Non"))</f>
        <v/>
      </c>
      <c r="K145" s="5" t="n"/>
    </row>
    <row r="146">
      <c r="A146" s="5" t="n"/>
      <c r="B146" s="5" t="n"/>
      <c r="C146" s="5" t="n"/>
      <c r="D146" s="5" t="n"/>
      <c r="E146" s="5" t="n"/>
      <c r="F146" s="5" t="n"/>
      <c r="G146" s="5" t="n"/>
      <c r="H146" s="5" t="n"/>
      <c r="I146" s="5" t="n"/>
      <c r="J146" s="5">
        <f>IF(A146="","",IF(AND(E146&lt;&gt;"",F146&lt;&gt;""),"Oui","Non"))</f>
        <v/>
      </c>
      <c r="K146" s="5" t="n"/>
    </row>
    <row r="147">
      <c r="A147" s="5" t="n"/>
      <c r="B147" s="5" t="n"/>
      <c r="C147" s="5" t="n"/>
      <c r="D147" s="5" t="n"/>
      <c r="E147" s="5" t="n"/>
      <c r="F147" s="5" t="n"/>
      <c r="G147" s="5" t="n"/>
      <c r="H147" s="5" t="n"/>
      <c r="I147" s="5" t="n"/>
      <c r="J147" s="5">
        <f>IF(A147="","",IF(AND(E147&lt;&gt;"",F147&lt;&gt;""),"Oui","Non"))</f>
        <v/>
      </c>
      <c r="K147" s="5" t="n"/>
    </row>
    <row r="148">
      <c r="A148" s="5" t="n"/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>
        <f>IF(A148="","",IF(AND(E148&lt;&gt;"",F148&lt;&gt;""),"Oui","Non"))</f>
        <v/>
      </c>
      <c r="K148" s="5" t="n"/>
    </row>
    <row r="149">
      <c r="A149" s="5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>
        <f>IF(A149="","",IF(AND(E149&lt;&gt;"",F149&lt;&gt;""),"Oui","Non"))</f>
        <v/>
      </c>
      <c r="K149" s="5" t="n"/>
    </row>
    <row r="150">
      <c r="A150" s="5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>
        <f>IF(A150="","",IF(AND(E150&lt;&gt;"",F150&lt;&gt;""),"Oui","Non"))</f>
        <v/>
      </c>
      <c r="K150" s="5" t="n"/>
    </row>
    <row r="151">
      <c r="A151" s="5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>
        <f>IF(A151="","",IF(AND(E151&lt;&gt;"",F151&lt;&gt;""),"Oui","Non"))</f>
        <v/>
      </c>
      <c r="K151" s="5" t="n"/>
    </row>
    <row r="152">
      <c r="A152" s="5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>
        <f>IF(A152="","",IF(AND(E152&lt;&gt;"",F152&lt;&gt;""),"Oui","Non"))</f>
        <v/>
      </c>
      <c r="K152" s="5" t="n"/>
    </row>
    <row r="153">
      <c r="A153" s="5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>
        <f>IF(A153="","",IF(AND(E153&lt;&gt;"",F153&lt;&gt;""),"Oui","Non"))</f>
        <v/>
      </c>
      <c r="K153" s="5" t="n"/>
    </row>
    <row r="154">
      <c r="A154" s="5" t="n"/>
      <c r="B154" s="5" t="n"/>
      <c r="C154" s="5" t="n"/>
      <c r="D154" s="5" t="n"/>
      <c r="E154" s="5" t="n"/>
      <c r="F154" s="5" t="n"/>
      <c r="G154" s="5" t="n"/>
      <c r="H154" s="5" t="n"/>
      <c r="I154" s="5" t="n"/>
      <c r="J154" s="5">
        <f>IF(A154="","",IF(AND(E154&lt;&gt;"",F154&lt;&gt;""),"Oui","Non"))</f>
        <v/>
      </c>
      <c r="K154" s="5" t="n"/>
    </row>
    <row r="155">
      <c r="A155" s="5" t="n"/>
      <c r="B155" s="5" t="n"/>
      <c r="C155" s="5" t="n"/>
      <c r="D155" s="5" t="n"/>
      <c r="E155" s="5" t="n"/>
      <c r="F155" s="5" t="n"/>
      <c r="G155" s="5" t="n"/>
      <c r="H155" s="5" t="n"/>
      <c r="I155" s="5" t="n"/>
      <c r="J155" s="5">
        <f>IF(A155="","",IF(AND(E155&lt;&gt;"",F155&lt;&gt;""),"Oui","Non"))</f>
        <v/>
      </c>
      <c r="K155" s="5" t="n"/>
    </row>
    <row r="156">
      <c r="A156" s="5" t="n"/>
      <c r="B156" s="5" t="n"/>
      <c r="C156" s="5" t="n"/>
      <c r="D156" s="5" t="n"/>
      <c r="E156" s="5" t="n"/>
      <c r="F156" s="5" t="n"/>
      <c r="G156" s="5" t="n"/>
      <c r="H156" s="5" t="n"/>
      <c r="I156" s="5" t="n"/>
      <c r="J156" s="5">
        <f>IF(A156="","",IF(AND(E156&lt;&gt;"",F156&lt;&gt;""),"Oui","Non"))</f>
        <v/>
      </c>
      <c r="K156" s="5" t="n"/>
    </row>
    <row r="157">
      <c r="A157" s="5" t="n"/>
      <c r="B157" s="5" t="n"/>
      <c r="C157" s="5" t="n"/>
      <c r="D157" s="5" t="n"/>
      <c r="E157" s="5" t="n"/>
      <c r="F157" s="5" t="n"/>
      <c r="G157" s="5" t="n"/>
      <c r="H157" s="5" t="n"/>
      <c r="I157" s="5" t="n"/>
      <c r="J157" s="5">
        <f>IF(A157="","",IF(AND(E157&lt;&gt;"",F157&lt;&gt;""),"Oui","Non"))</f>
        <v/>
      </c>
      <c r="K157" s="5" t="n"/>
    </row>
    <row r="158">
      <c r="A158" s="5" t="n"/>
      <c r="B158" s="5" t="n"/>
      <c r="C158" s="5" t="n"/>
      <c r="D158" s="5" t="n"/>
      <c r="E158" s="5" t="n"/>
      <c r="F158" s="5" t="n"/>
      <c r="G158" s="5" t="n"/>
      <c r="H158" s="5" t="n"/>
      <c r="I158" s="5" t="n"/>
      <c r="J158" s="5">
        <f>IF(A158="","",IF(AND(E158&lt;&gt;"",F158&lt;&gt;""),"Oui","Non"))</f>
        <v/>
      </c>
      <c r="K158" s="5" t="n"/>
    </row>
    <row r="159">
      <c r="A159" s="5" t="n"/>
      <c r="B159" s="5" t="n"/>
      <c r="C159" s="5" t="n"/>
      <c r="D159" s="5" t="n"/>
      <c r="E159" s="5" t="n"/>
      <c r="F159" s="5" t="n"/>
      <c r="G159" s="5" t="n"/>
      <c r="H159" s="5" t="n"/>
      <c r="I159" s="5" t="n"/>
      <c r="J159" s="5">
        <f>IF(A159="","",IF(AND(E159&lt;&gt;"",F159&lt;&gt;""),"Oui","Non"))</f>
        <v/>
      </c>
      <c r="K159" s="5" t="n"/>
    </row>
    <row r="160">
      <c r="A160" s="5" t="n"/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>
        <f>IF(A160="","",IF(AND(E160&lt;&gt;"",F160&lt;&gt;""),"Oui","Non"))</f>
        <v/>
      </c>
      <c r="K160" s="5" t="n"/>
    </row>
    <row r="161">
      <c r="A161" s="5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>
        <f>IF(A161="","",IF(AND(E161&lt;&gt;"",F161&lt;&gt;""),"Oui","Non"))</f>
        <v/>
      </c>
      <c r="K161" s="5" t="n"/>
    </row>
    <row r="162">
      <c r="A162" s="5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>
        <f>IF(A162="","",IF(AND(E162&lt;&gt;"",F162&lt;&gt;""),"Oui","Non"))</f>
        <v/>
      </c>
      <c r="K162" s="5" t="n"/>
    </row>
    <row r="163">
      <c r="A163" s="5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>
        <f>IF(A163="","",IF(AND(E163&lt;&gt;"",F163&lt;&gt;""),"Oui","Non"))</f>
        <v/>
      </c>
      <c r="K163" s="5" t="n"/>
    </row>
    <row r="164">
      <c r="A164" s="5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>
        <f>IF(A164="","",IF(AND(E164&lt;&gt;"",F164&lt;&gt;""),"Oui","Non"))</f>
        <v/>
      </c>
      <c r="K164" s="5" t="n"/>
    </row>
    <row r="165">
      <c r="A165" s="5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>
        <f>IF(A165="","",IF(AND(E165&lt;&gt;"",F165&lt;&gt;""),"Oui","Non"))</f>
        <v/>
      </c>
      <c r="K165" s="5" t="n"/>
    </row>
    <row r="166">
      <c r="A166" s="5" t="n"/>
      <c r="B166" s="5" t="n"/>
      <c r="C166" s="5" t="n"/>
      <c r="D166" s="5" t="n"/>
      <c r="E166" s="5" t="n"/>
      <c r="F166" s="5" t="n"/>
      <c r="G166" s="5" t="n"/>
      <c r="H166" s="5" t="n"/>
      <c r="I166" s="5" t="n"/>
      <c r="J166" s="5">
        <f>IF(A166="","",IF(AND(E166&lt;&gt;"",F166&lt;&gt;""),"Oui","Non"))</f>
        <v/>
      </c>
      <c r="K166" s="5" t="n"/>
    </row>
    <row r="167">
      <c r="A167" s="5" t="n"/>
      <c r="B167" s="5" t="n"/>
      <c r="C167" s="5" t="n"/>
      <c r="D167" s="5" t="n"/>
      <c r="E167" s="5" t="n"/>
      <c r="F167" s="5" t="n"/>
      <c r="G167" s="5" t="n"/>
      <c r="H167" s="5" t="n"/>
      <c r="I167" s="5" t="n"/>
      <c r="J167" s="5">
        <f>IF(A167="","",IF(AND(E167&lt;&gt;"",F167&lt;&gt;""),"Oui","Non"))</f>
        <v/>
      </c>
      <c r="K167" s="5" t="n"/>
    </row>
    <row r="168">
      <c r="A168" s="5" t="n"/>
      <c r="B168" s="5" t="n"/>
      <c r="C168" s="5" t="n"/>
      <c r="D168" s="5" t="n"/>
      <c r="E168" s="5" t="n"/>
      <c r="F168" s="5" t="n"/>
      <c r="G168" s="5" t="n"/>
      <c r="H168" s="5" t="n"/>
      <c r="I168" s="5" t="n"/>
      <c r="J168" s="5">
        <f>IF(A168="","",IF(AND(E168&lt;&gt;"",F168&lt;&gt;""),"Oui","Non"))</f>
        <v/>
      </c>
      <c r="K168" s="5" t="n"/>
    </row>
    <row r="169">
      <c r="A169" s="5" t="n"/>
      <c r="B169" s="5" t="n"/>
      <c r="C169" s="5" t="n"/>
      <c r="D169" s="5" t="n"/>
      <c r="E169" s="5" t="n"/>
      <c r="F169" s="5" t="n"/>
      <c r="G169" s="5" t="n"/>
      <c r="H169" s="5" t="n"/>
      <c r="I169" s="5" t="n"/>
      <c r="J169" s="5">
        <f>IF(A169="","",IF(AND(E169&lt;&gt;"",F169&lt;&gt;""),"Oui","Non"))</f>
        <v/>
      </c>
      <c r="K169" s="5" t="n"/>
    </row>
    <row r="170">
      <c r="A170" s="5" t="n"/>
      <c r="B170" s="5" t="n"/>
      <c r="C170" s="5" t="n"/>
      <c r="D170" s="5" t="n"/>
      <c r="E170" s="5" t="n"/>
      <c r="F170" s="5" t="n"/>
      <c r="G170" s="5" t="n"/>
      <c r="H170" s="5" t="n"/>
      <c r="I170" s="5" t="n"/>
      <c r="J170" s="5">
        <f>IF(A170="","",IF(AND(E170&lt;&gt;"",F170&lt;&gt;""),"Oui","Non"))</f>
        <v/>
      </c>
      <c r="K170" s="5" t="n"/>
    </row>
    <row r="171">
      <c r="A171" s="5" t="n"/>
      <c r="B171" s="5" t="n"/>
      <c r="C171" s="5" t="n"/>
      <c r="D171" s="5" t="n"/>
      <c r="E171" s="5" t="n"/>
      <c r="F171" s="5" t="n"/>
      <c r="G171" s="5" t="n"/>
      <c r="H171" s="5" t="n"/>
      <c r="I171" s="5" t="n"/>
      <c r="J171" s="5">
        <f>IF(A171="","",IF(AND(E171&lt;&gt;"",F171&lt;&gt;""),"Oui","Non"))</f>
        <v/>
      </c>
      <c r="K171" s="5" t="n"/>
    </row>
    <row r="172">
      <c r="A172" s="5" t="n"/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>
        <f>IF(A172="","",IF(AND(E172&lt;&gt;"",F172&lt;&gt;""),"Oui","Non"))</f>
        <v/>
      </c>
      <c r="K172" s="5" t="n"/>
    </row>
    <row r="173">
      <c r="A173" s="5" t="n"/>
      <c r="B173" s="5" t="n"/>
      <c r="C173" s="5" t="n"/>
      <c r="D173" s="5" t="n"/>
      <c r="E173" s="5" t="n"/>
      <c r="F173" s="5" t="n"/>
      <c r="G173" s="5" t="n"/>
      <c r="H173" s="5" t="n"/>
      <c r="I173" s="5" t="n"/>
      <c r="J173" s="5">
        <f>IF(A173="","",IF(AND(E173&lt;&gt;"",F173&lt;&gt;""),"Oui","Non"))</f>
        <v/>
      </c>
      <c r="K173" s="5" t="n"/>
    </row>
    <row r="174">
      <c r="A174" s="5" t="n"/>
      <c r="B174" s="5" t="n"/>
      <c r="C174" s="5" t="n"/>
      <c r="D174" s="5" t="n"/>
      <c r="E174" s="5" t="n"/>
      <c r="F174" s="5" t="n"/>
      <c r="G174" s="5" t="n"/>
      <c r="H174" s="5" t="n"/>
      <c r="I174" s="5" t="n"/>
      <c r="J174" s="5">
        <f>IF(A174="","",IF(AND(E174&lt;&gt;"",F174&lt;&gt;""),"Oui","Non"))</f>
        <v/>
      </c>
      <c r="K174" s="5" t="n"/>
    </row>
    <row r="175">
      <c r="A175" s="5" t="n"/>
      <c r="B175" s="5" t="n"/>
      <c r="C175" s="5" t="n"/>
      <c r="D175" s="5" t="n"/>
      <c r="E175" s="5" t="n"/>
      <c r="F175" s="5" t="n"/>
      <c r="G175" s="5" t="n"/>
      <c r="H175" s="5" t="n"/>
      <c r="I175" s="5" t="n"/>
      <c r="J175" s="5">
        <f>IF(A175="","",IF(AND(E175&lt;&gt;"",F175&lt;&gt;""),"Oui","Non"))</f>
        <v/>
      </c>
      <c r="K175" s="5" t="n"/>
    </row>
    <row r="176">
      <c r="A176" s="5" t="n"/>
      <c r="B176" s="5" t="n"/>
      <c r="C176" s="5" t="n"/>
      <c r="D176" s="5" t="n"/>
      <c r="E176" s="5" t="n"/>
      <c r="F176" s="5" t="n"/>
      <c r="G176" s="5" t="n"/>
      <c r="H176" s="5" t="n"/>
      <c r="I176" s="5" t="n"/>
      <c r="J176" s="5">
        <f>IF(A176="","",IF(AND(E176&lt;&gt;"",F176&lt;&gt;""),"Oui","Non"))</f>
        <v/>
      </c>
      <c r="K176" s="5" t="n"/>
    </row>
    <row r="177">
      <c r="A177" s="5" t="n"/>
      <c r="B177" s="5" t="n"/>
      <c r="C177" s="5" t="n"/>
      <c r="D177" s="5" t="n"/>
      <c r="E177" s="5" t="n"/>
      <c r="F177" s="5" t="n"/>
      <c r="G177" s="5" t="n"/>
      <c r="H177" s="5" t="n"/>
      <c r="I177" s="5" t="n"/>
      <c r="J177" s="5">
        <f>IF(A177="","",IF(AND(E177&lt;&gt;"",F177&lt;&gt;""),"Oui","Non"))</f>
        <v/>
      </c>
      <c r="K177" s="5" t="n"/>
    </row>
    <row r="178">
      <c r="A178" s="5" t="n"/>
      <c r="B178" s="5" t="n"/>
      <c r="C178" s="5" t="n"/>
      <c r="D178" s="5" t="n"/>
      <c r="E178" s="5" t="n"/>
      <c r="F178" s="5" t="n"/>
      <c r="G178" s="5" t="n"/>
      <c r="H178" s="5" t="n"/>
      <c r="I178" s="5" t="n"/>
      <c r="J178" s="5">
        <f>IF(A178="","",IF(AND(E178&lt;&gt;"",F178&lt;&gt;""),"Oui","Non"))</f>
        <v/>
      </c>
      <c r="K178" s="5" t="n"/>
    </row>
    <row r="179">
      <c r="A179" s="5" t="n"/>
      <c r="B179" s="5" t="n"/>
      <c r="C179" s="5" t="n"/>
      <c r="D179" s="5" t="n"/>
      <c r="E179" s="5" t="n"/>
      <c r="F179" s="5" t="n"/>
      <c r="G179" s="5" t="n"/>
      <c r="H179" s="5" t="n"/>
      <c r="I179" s="5" t="n"/>
      <c r="J179" s="5">
        <f>IF(A179="","",IF(AND(E179&lt;&gt;"",F179&lt;&gt;""),"Oui","Non"))</f>
        <v/>
      </c>
      <c r="K179" s="5" t="n"/>
    </row>
    <row r="180">
      <c r="A180" s="5" t="n"/>
      <c r="B180" s="5" t="n"/>
      <c r="C180" s="5" t="n"/>
      <c r="D180" s="5" t="n"/>
      <c r="E180" s="5" t="n"/>
      <c r="F180" s="5" t="n"/>
      <c r="G180" s="5" t="n"/>
      <c r="H180" s="5" t="n"/>
      <c r="I180" s="5" t="n"/>
      <c r="J180" s="5">
        <f>IF(A180="","",IF(AND(E180&lt;&gt;"",F180&lt;&gt;""),"Oui","Non"))</f>
        <v/>
      </c>
      <c r="K180" s="5" t="n"/>
    </row>
    <row r="181">
      <c r="A181" s="5" t="n"/>
      <c r="B181" s="5" t="n"/>
      <c r="C181" s="5" t="n"/>
      <c r="D181" s="5" t="n"/>
      <c r="E181" s="5" t="n"/>
      <c r="F181" s="5" t="n"/>
      <c r="G181" s="5" t="n"/>
      <c r="H181" s="5" t="n"/>
      <c r="I181" s="5" t="n"/>
      <c r="J181" s="5">
        <f>IF(A181="","",IF(AND(E181&lt;&gt;"",F181&lt;&gt;""),"Oui","Non"))</f>
        <v/>
      </c>
      <c r="K181" s="5" t="n"/>
    </row>
    <row r="182">
      <c r="A182" s="5" t="n"/>
      <c r="B182" s="5" t="n"/>
      <c r="C182" s="5" t="n"/>
      <c r="D182" s="5" t="n"/>
      <c r="E182" s="5" t="n"/>
      <c r="F182" s="5" t="n"/>
      <c r="G182" s="5" t="n"/>
      <c r="H182" s="5" t="n"/>
      <c r="I182" s="5" t="n"/>
      <c r="J182" s="5">
        <f>IF(A182="","",IF(AND(E182&lt;&gt;"",F182&lt;&gt;""),"Oui","Non"))</f>
        <v/>
      </c>
      <c r="K182" s="5" t="n"/>
    </row>
    <row r="183">
      <c r="A183" s="5" t="n"/>
      <c r="B183" s="5" t="n"/>
      <c r="C183" s="5" t="n"/>
      <c r="D183" s="5" t="n"/>
      <c r="E183" s="5" t="n"/>
      <c r="F183" s="5" t="n"/>
      <c r="G183" s="5" t="n"/>
      <c r="H183" s="5" t="n"/>
      <c r="I183" s="5" t="n"/>
      <c r="J183" s="5">
        <f>IF(A183="","",IF(AND(E183&lt;&gt;"",F183&lt;&gt;""),"Oui","Non"))</f>
        <v/>
      </c>
      <c r="K183" s="5" t="n"/>
    </row>
    <row r="184">
      <c r="A184" s="5" t="n"/>
      <c r="B184" s="5" t="n"/>
      <c r="C184" s="5" t="n"/>
      <c r="D184" s="5" t="n"/>
      <c r="E184" s="5" t="n"/>
      <c r="F184" s="5" t="n"/>
      <c r="G184" s="5" t="n"/>
      <c r="H184" s="5" t="n"/>
      <c r="I184" s="5" t="n"/>
      <c r="J184" s="5">
        <f>IF(A184="","",IF(AND(E184&lt;&gt;"",F184&lt;&gt;""),"Oui","Non"))</f>
        <v/>
      </c>
      <c r="K184" s="5" t="n"/>
    </row>
    <row r="185">
      <c r="A185" s="5" t="n"/>
      <c r="B185" s="5" t="n"/>
      <c r="C185" s="5" t="n"/>
      <c r="D185" s="5" t="n"/>
      <c r="E185" s="5" t="n"/>
      <c r="F185" s="5" t="n"/>
      <c r="G185" s="5" t="n"/>
      <c r="H185" s="5" t="n"/>
      <c r="I185" s="5" t="n"/>
      <c r="J185" s="5">
        <f>IF(A185="","",IF(AND(E185&lt;&gt;"",F185&lt;&gt;""),"Oui","Non"))</f>
        <v/>
      </c>
      <c r="K185" s="5" t="n"/>
    </row>
    <row r="186">
      <c r="A186" s="5" t="n"/>
      <c r="B186" s="5" t="n"/>
      <c r="C186" s="5" t="n"/>
      <c r="D186" s="5" t="n"/>
      <c r="E186" s="5" t="n"/>
      <c r="F186" s="5" t="n"/>
      <c r="G186" s="5" t="n"/>
      <c r="H186" s="5" t="n"/>
      <c r="I186" s="5" t="n"/>
      <c r="J186" s="5">
        <f>IF(A186="","",IF(AND(E186&lt;&gt;"",F186&lt;&gt;""),"Oui","Non"))</f>
        <v/>
      </c>
      <c r="K186" s="5" t="n"/>
    </row>
    <row r="187">
      <c r="A187" s="5" t="n"/>
      <c r="B187" s="5" t="n"/>
      <c r="C187" s="5" t="n"/>
      <c r="D187" s="5" t="n"/>
      <c r="E187" s="5" t="n"/>
      <c r="F187" s="5" t="n"/>
      <c r="G187" s="5" t="n"/>
      <c r="H187" s="5" t="n"/>
      <c r="I187" s="5" t="n"/>
      <c r="J187" s="5">
        <f>IF(A187="","",IF(AND(E187&lt;&gt;"",F187&lt;&gt;""),"Oui","Non"))</f>
        <v/>
      </c>
      <c r="K187" s="5" t="n"/>
    </row>
    <row r="188">
      <c r="A188" s="5" t="n"/>
      <c r="B188" s="5" t="n"/>
      <c r="C188" s="5" t="n"/>
      <c r="D188" s="5" t="n"/>
      <c r="E188" s="5" t="n"/>
      <c r="F188" s="5" t="n"/>
      <c r="G188" s="5" t="n"/>
      <c r="H188" s="5" t="n"/>
      <c r="I188" s="5" t="n"/>
      <c r="J188" s="5">
        <f>IF(A188="","",IF(AND(E188&lt;&gt;"",F188&lt;&gt;""),"Oui","Non"))</f>
        <v/>
      </c>
      <c r="K188" s="5" t="n"/>
    </row>
    <row r="189">
      <c r="A189" s="5" t="n"/>
      <c r="B189" s="5" t="n"/>
      <c r="C189" s="5" t="n"/>
      <c r="D189" s="5" t="n"/>
      <c r="E189" s="5" t="n"/>
      <c r="F189" s="5" t="n"/>
      <c r="G189" s="5" t="n"/>
      <c r="H189" s="5" t="n"/>
      <c r="I189" s="5" t="n"/>
      <c r="J189" s="5">
        <f>IF(A189="","",IF(AND(E189&lt;&gt;"",F189&lt;&gt;""),"Oui","Non"))</f>
        <v/>
      </c>
      <c r="K189" s="5" t="n"/>
    </row>
    <row r="190">
      <c r="A190" s="5" t="n"/>
      <c r="B190" s="5" t="n"/>
      <c r="C190" s="5" t="n"/>
      <c r="D190" s="5" t="n"/>
      <c r="E190" s="5" t="n"/>
      <c r="F190" s="5" t="n"/>
      <c r="G190" s="5" t="n"/>
      <c r="H190" s="5" t="n"/>
      <c r="I190" s="5" t="n"/>
      <c r="J190" s="5">
        <f>IF(A190="","",IF(AND(E190&lt;&gt;"",F190&lt;&gt;""),"Oui","Non"))</f>
        <v/>
      </c>
      <c r="K190" s="5" t="n"/>
    </row>
    <row r="191">
      <c r="A191" s="5" t="n"/>
      <c r="B191" s="5" t="n"/>
      <c r="C191" s="5" t="n"/>
      <c r="D191" s="5" t="n"/>
      <c r="E191" s="5" t="n"/>
      <c r="F191" s="5" t="n"/>
      <c r="G191" s="5" t="n"/>
      <c r="H191" s="5" t="n"/>
      <c r="I191" s="5" t="n"/>
      <c r="J191" s="5">
        <f>IF(A191="","",IF(AND(E191&lt;&gt;"",F191&lt;&gt;""),"Oui","Non"))</f>
        <v/>
      </c>
      <c r="K191" s="5" t="n"/>
    </row>
    <row r="192">
      <c r="A192" s="5" t="n"/>
      <c r="B192" s="5" t="n"/>
      <c r="C192" s="5" t="n"/>
      <c r="D192" s="5" t="n"/>
      <c r="E192" s="5" t="n"/>
      <c r="F192" s="5" t="n"/>
      <c r="G192" s="5" t="n"/>
      <c r="H192" s="5" t="n"/>
      <c r="I192" s="5" t="n"/>
      <c r="J192" s="5">
        <f>IF(A192="","",IF(AND(E192&lt;&gt;"",F192&lt;&gt;""),"Oui","Non"))</f>
        <v/>
      </c>
      <c r="K192" s="5" t="n"/>
    </row>
    <row r="193">
      <c r="A193" s="5" t="n"/>
      <c r="B193" s="5" t="n"/>
      <c r="C193" s="5" t="n"/>
      <c r="D193" s="5" t="n"/>
      <c r="E193" s="5" t="n"/>
      <c r="F193" s="5" t="n"/>
      <c r="G193" s="5" t="n"/>
      <c r="H193" s="5" t="n"/>
      <c r="I193" s="5" t="n"/>
      <c r="J193" s="5">
        <f>IF(A193="","",IF(AND(E193&lt;&gt;"",F193&lt;&gt;""),"Oui","Non"))</f>
        <v/>
      </c>
      <c r="K193" s="5" t="n"/>
    </row>
    <row r="194">
      <c r="A194" s="5" t="n"/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>
        <f>IF(A194="","",IF(AND(E194&lt;&gt;"",F194&lt;&gt;""),"Oui","Non"))</f>
        <v/>
      </c>
      <c r="K194" s="5" t="n"/>
    </row>
    <row r="195">
      <c r="A195" s="5" t="n"/>
      <c r="B195" s="5" t="n"/>
      <c r="C195" s="5" t="n"/>
      <c r="D195" s="5" t="n"/>
      <c r="E195" s="5" t="n"/>
      <c r="F195" s="5" t="n"/>
      <c r="G195" s="5" t="n"/>
      <c r="H195" s="5" t="n"/>
      <c r="I195" s="5" t="n"/>
      <c r="J195" s="5">
        <f>IF(A195="","",IF(AND(E195&lt;&gt;"",F195&lt;&gt;""),"Oui","Non"))</f>
        <v/>
      </c>
      <c r="K195" s="5" t="n"/>
    </row>
    <row r="196">
      <c r="A196" s="5" t="n"/>
      <c r="B196" s="5" t="n"/>
      <c r="C196" s="5" t="n"/>
      <c r="D196" s="5" t="n"/>
      <c r="E196" s="5" t="n"/>
      <c r="F196" s="5" t="n"/>
      <c r="G196" s="5" t="n"/>
      <c r="H196" s="5" t="n"/>
      <c r="I196" s="5" t="n"/>
      <c r="J196" s="5">
        <f>IF(A196="","",IF(AND(E196&lt;&gt;"",F196&lt;&gt;""),"Oui","Non"))</f>
        <v/>
      </c>
      <c r="K196" s="5" t="n"/>
    </row>
    <row r="197">
      <c r="A197" s="5" t="n"/>
      <c r="B197" s="5" t="n"/>
      <c r="C197" s="5" t="n"/>
      <c r="D197" s="5" t="n"/>
      <c r="E197" s="5" t="n"/>
      <c r="F197" s="5" t="n"/>
      <c r="G197" s="5" t="n"/>
      <c r="H197" s="5" t="n"/>
      <c r="I197" s="5" t="n"/>
      <c r="J197" s="5">
        <f>IF(A197="","",IF(AND(E197&lt;&gt;"",F197&lt;&gt;""),"Oui","Non"))</f>
        <v/>
      </c>
      <c r="K197" s="5" t="n"/>
    </row>
    <row r="198">
      <c r="A198" s="5" t="n"/>
      <c r="B198" s="5" t="n"/>
      <c r="C198" s="5" t="n"/>
      <c r="D198" s="5" t="n"/>
      <c r="E198" s="5" t="n"/>
      <c r="F198" s="5" t="n"/>
      <c r="G198" s="5" t="n"/>
      <c r="H198" s="5" t="n"/>
      <c r="I198" s="5" t="n"/>
      <c r="J198" s="5">
        <f>IF(A198="","",IF(AND(E198&lt;&gt;"",F198&lt;&gt;""),"Oui","Non"))</f>
        <v/>
      </c>
      <c r="K198" s="5" t="n"/>
    </row>
    <row r="199">
      <c r="A199" s="5" t="n"/>
      <c r="B199" s="5" t="n"/>
      <c r="C199" s="5" t="n"/>
      <c r="D199" s="5" t="n"/>
      <c r="E199" s="5" t="n"/>
      <c r="F199" s="5" t="n"/>
      <c r="G199" s="5" t="n"/>
      <c r="H199" s="5" t="n"/>
      <c r="I199" s="5" t="n"/>
      <c r="J199" s="5">
        <f>IF(A199="","",IF(AND(E199&lt;&gt;"",F199&lt;&gt;""),"Oui","Non"))</f>
        <v/>
      </c>
      <c r="K199" s="5" t="n"/>
    </row>
    <row r="200">
      <c r="A200" s="5" t="n"/>
      <c r="B200" s="5" t="n"/>
      <c r="C200" s="5" t="n"/>
      <c r="D200" s="5" t="n"/>
      <c r="E200" s="5" t="n"/>
      <c r="F200" s="5" t="n"/>
      <c r="G200" s="5" t="n"/>
      <c r="H200" s="5" t="n"/>
      <c r="I200" s="5" t="n"/>
      <c r="J200" s="5">
        <f>IF(A200="","",IF(AND(E200&lt;&gt;"",F200&lt;&gt;""),"Oui","Non"))</f>
        <v/>
      </c>
      <c r="K200" s="5" t="n"/>
    </row>
    <row r="201">
      <c r="A201" s="5" t="n"/>
      <c r="B201" s="5" t="n"/>
      <c r="C201" s="5" t="n"/>
      <c r="D201" s="5" t="n"/>
      <c r="E201" s="5" t="n"/>
      <c r="F201" s="5" t="n"/>
      <c r="G201" s="5" t="n"/>
      <c r="H201" s="5" t="n"/>
      <c r="I201" s="5" t="n"/>
      <c r="J201" s="5">
        <f>IF(A201="","",IF(AND(E201&lt;&gt;"",F201&lt;&gt;""),"Oui","Non"))</f>
        <v/>
      </c>
      <c r="K201" s="5" t="n"/>
    </row>
    <row r="202">
      <c r="A202" s="5" t="n"/>
      <c r="B202" s="5" t="n"/>
      <c r="C202" s="5" t="n"/>
      <c r="D202" s="5" t="n"/>
      <c r="E202" s="5" t="n"/>
      <c r="F202" s="5" t="n"/>
      <c r="G202" s="5" t="n"/>
      <c r="H202" s="5" t="n"/>
      <c r="I202" s="5" t="n"/>
      <c r="J202" s="5">
        <f>IF(A202="","",IF(AND(E202&lt;&gt;"",F202&lt;&gt;""),"Oui","Non"))</f>
        <v/>
      </c>
      <c r="K202" s="5" t="n"/>
    </row>
    <row r="203">
      <c r="A203" s="5" t="n"/>
      <c r="B203" s="5" t="n"/>
      <c r="C203" s="5" t="n"/>
      <c r="D203" s="5" t="n"/>
      <c r="E203" s="5" t="n"/>
      <c r="F203" s="5" t="n"/>
      <c r="G203" s="5" t="n"/>
      <c r="H203" s="5" t="n"/>
      <c r="I203" s="5" t="n"/>
      <c r="J203" s="5">
        <f>IF(A203="","",IF(AND(E203&lt;&gt;"",F203&lt;&gt;""),"Oui","Non"))</f>
        <v/>
      </c>
      <c r="K203" s="5" t="n"/>
    </row>
  </sheetData>
  <autoFilter ref="A3:K203"/>
  <conditionalFormatting sqref="A4:K203">
    <cfRule type="expression" priority="1" dxfId="0">
      <formula>$I4="Validé"</formula>
    </cfRule>
    <cfRule type="expression" priority="2" dxfId="1">
      <formula>$I4="Rejeté"</formula>
    </cfRule>
    <cfRule type="expression" priority="3" dxfId="2">
      <formula>$I4="En cours"</formula>
    </cfRule>
  </conditionalFormatting>
  <conditionalFormatting sqref="J4:J203">
    <cfRule type="cellIs" priority="4" operator="equal" dxfId="3">
      <formula>"Non"</formula>
    </cfRule>
  </conditionalFormatting>
  <dataValidations count="3">
    <dataValidation sqref="C4:C203" showDropDown="0" showInputMessage="0" showErrorMessage="0" allowBlank="1" type="list">
      <formula1>"M,S,C,W"</formula1>
    </dataValidation>
    <dataValidation sqref="H4:H203" showDropDown="0" showInputMessage="0" showErrorMessage="0" allowBlank="1" type="list">
      <formula1>"Non exécuté,Réussi,Échoué,Bloqué"</formula1>
    </dataValidation>
    <dataValidation sqref="I4:I203" showDropDown="0" showInputMessage="0" showErrorMessage="0" allowBlank="1" type="list">
      <formula1>"À faire,En cours,Validé,Rejeté"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Synthèse de couverture et de validation</t>
        </is>
      </c>
    </row>
    <row r="3">
      <c r="A3" s="6" t="inlineStr">
        <is>
          <t>Nombre d'exigences</t>
        </is>
      </c>
      <c r="B3" s="7">
        <f>COUNTA('Traçabilité'!A4:A203)</f>
        <v/>
      </c>
    </row>
    <row r="4">
      <c r="A4" s="6" t="inlineStr">
        <is>
          <t>Exigences couvertes (conception + test)</t>
        </is>
      </c>
      <c r="B4" s="7">
        <f>COUNTIF('Traçabilité'!J4:J203,"Oui")</f>
        <v/>
      </c>
    </row>
    <row r="5">
      <c r="A5" s="6" t="inlineStr">
        <is>
          <t>Taux de couverture</t>
        </is>
      </c>
      <c r="B5" s="8">
        <f>IF(B3=0,0,B4/B3)</f>
        <v/>
      </c>
    </row>
    <row r="6">
      <c r="A6" s="6" t="inlineStr">
        <is>
          <t>Exigences validées</t>
        </is>
      </c>
      <c r="B6" s="7">
        <f>COUNTIF('Traçabilité'!I4:I203,"Validé")</f>
        <v/>
      </c>
    </row>
    <row r="7">
      <c r="A7" s="6" t="inlineStr">
        <is>
          <t>Taux de validation global</t>
        </is>
      </c>
      <c r="B7" s="8">
        <f>IF(B3=0,0,B6/B3)</f>
        <v/>
      </c>
    </row>
    <row r="9" ht="32" customHeight="1">
      <c r="A9" s="4" t="inlineStr">
        <is>
          <t>Priorité</t>
        </is>
      </c>
      <c r="B9" s="4" t="inlineStr">
        <is>
          <t>Total</t>
        </is>
      </c>
      <c r="C9" s="4" t="inlineStr">
        <is>
          <t>Validées</t>
        </is>
      </c>
      <c r="D9" s="4" t="inlineStr">
        <is>
          <t>% validé</t>
        </is>
      </c>
      <c r="E9" s="4" t="inlineStr">
        <is>
          <t>Couvertes</t>
        </is>
      </c>
      <c r="F9" s="4" t="inlineStr">
        <is>
          <t>% couvert</t>
        </is>
      </c>
    </row>
    <row r="10">
      <c r="A10" s="5" t="inlineStr">
        <is>
          <t>M</t>
        </is>
      </c>
      <c r="B10" s="5">
        <f>COUNTIFS('Traçabilité'!C4:C203,A10,'Traçabilité'!A4:A203,"&lt;&gt;")</f>
        <v/>
      </c>
      <c r="C10" s="5">
        <f>COUNTIFS('Traçabilité'!C4:C203,A10,'Traçabilité'!I4:I203,"Validé")</f>
        <v/>
      </c>
      <c r="D10" s="9">
        <f>IF(B10=0,0,C10/B10)</f>
        <v/>
      </c>
      <c r="E10" s="5">
        <f>COUNTIFS('Traçabilité'!C4:C203,A10,'Traçabilité'!J4:J203,"Oui")</f>
        <v/>
      </c>
      <c r="F10" s="9">
        <f>IF(B10=0,0,E10/B10)</f>
        <v/>
      </c>
    </row>
    <row r="11">
      <c r="A11" s="5" t="inlineStr">
        <is>
          <t>S</t>
        </is>
      </c>
      <c r="B11" s="5">
        <f>COUNTIFS('Traçabilité'!C4:C203,A11,'Traçabilité'!A4:A203,"&lt;&gt;")</f>
        <v/>
      </c>
      <c r="C11" s="5">
        <f>COUNTIFS('Traçabilité'!C4:C203,A11,'Traçabilité'!I4:I203,"Validé")</f>
        <v/>
      </c>
      <c r="D11" s="9">
        <f>IF(B11=0,0,C11/B11)</f>
        <v/>
      </c>
      <c r="E11" s="5">
        <f>COUNTIFS('Traçabilité'!C4:C203,A11,'Traçabilité'!J4:J203,"Oui")</f>
        <v/>
      </c>
      <c r="F11" s="9">
        <f>IF(B11=0,0,E11/B11)</f>
        <v/>
      </c>
    </row>
    <row r="12">
      <c r="A12" s="5" t="inlineStr">
        <is>
          <t>C</t>
        </is>
      </c>
      <c r="B12" s="5">
        <f>COUNTIFS('Traçabilité'!C4:C203,A12,'Traçabilité'!A4:A203,"&lt;&gt;")</f>
        <v/>
      </c>
      <c r="C12" s="5">
        <f>COUNTIFS('Traçabilité'!C4:C203,A12,'Traçabilité'!I4:I203,"Validé")</f>
        <v/>
      </c>
      <c r="D12" s="9">
        <f>IF(B12=0,0,C12/B12)</f>
        <v/>
      </c>
      <c r="E12" s="5">
        <f>COUNTIFS('Traçabilité'!C4:C203,A12,'Traçabilité'!J4:J203,"Oui")</f>
        <v/>
      </c>
      <c r="F12" s="9">
        <f>IF(B12=0,0,E12/B12)</f>
        <v/>
      </c>
    </row>
    <row r="13">
      <c r="A13" s="5" t="inlineStr">
        <is>
          <t>W</t>
        </is>
      </c>
      <c r="B13" s="5">
        <f>COUNTIFS('Traçabilité'!C4:C203,A13,'Traçabilité'!A4:A203,"&lt;&gt;")</f>
        <v/>
      </c>
      <c r="C13" s="5">
        <f>COUNTIFS('Traçabilité'!C4:C203,A13,'Traçabilité'!I4:I203,"Validé")</f>
        <v/>
      </c>
      <c r="D13" s="9">
        <f>IF(B13=0,0,C13/B13)</f>
        <v/>
      </c>
      <c r="E13" s="5">
        <f>COUNTIFS('Traçabilité'!C4:C203,A13,'Traçabilité'!J4:J203,"Oui")</f>
        <v/>
      </c>
      <c r="F13" s="9">
        <f>IF(B13=0,0,E13/B13)</f>
        <v/>
      </c>
    </row>
  </sheetData>
  <conditionalFormatting sqref="D10:D13">
    <cfRule type="cellIs" priority="1" operator="greaterThanOrEqual" dxfId="0">
      <formula>1</formula>
    </cfRule>
    <cfRule type="cellIs" priority="2" operator="lessThan" dxfId="1">
      <formula>0.5</formula>
    </cfRule>
  </conditionalFormatting>
  <conditionalFormatting sqref="F10:F13">
    <cfRule type="cellIs" priority="3" operator="greaterThanOrEqual" dxfId="0">
      <formula>1</formula>
    </cfRule>
    <cfRule type="cellIs" priority="4" operator="lessThan" dxfId="1">
      <formula>0.5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2026-10-29T21:15:13Z</dcterms:created>
  <dcterms:modified xmlns:dcterms="http://purl.org/dc/terms/" xmlns:xsi="http://www.w3.org/2001/XMLSchema-instance" xsi:type="dcterms:W3CDTF">2026-10-29T21:15:13Z</dcterms:modified>
</cp:coreProperties>
</file>