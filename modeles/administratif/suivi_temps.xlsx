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roisé" sheetId="3" state="visible" r:id="rId3"/>
    <sheet xmlns:r="http://schemas.openxmlformats.org/officeDocument/2006/relationships" name="Paramètres" sheetId="4" state="visible" r:id="rId4"/>
  </sheets>
  <definedNames>
    <definedName name="Liste_Personnes">'Paramètres'!$A$4:$A$33</definedName>
    <definedName name="Liste_Projets">'Paramètres'!$B$4:$B$33</definedName>
    <definedName name="Liste_Taches">'Paramètres'!$C$4:$C$33</definedName>
    <definedName name="Annee">'Paramètres'!$F$3</definedName>
    <definedName name="_xlnm._FilterDatabase" localSheetId="0" hidden="1">'Saisie'!$A$1:$G$501</definedName>
    <definedName name="_xlnm.Print_Titles" localSheetId="0">'Saisie'!$1:$1</definedName>
    <definedName name="_xlnm.Print_Area" localSheetId="0">'Saisie'!$A$1:$G$501</definedName>
    <definedName name="_xlnm.Print_Area" localSheetId="1">'Synthèse'!$A$1:$N$70</definedName>
    <definedName name="_xlnm.Print_Area" localSheetId="2">'Croisé'!$A$1:$L$15</definedName>
    <definedName name="_xlnm.Print_Area" localSheetId="3">'Paramètres'!$A$1:$F$33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2A44"/>
      <sz val="18"/>
    </font>
    <font>
      <name val="Calibri"/>
      <b val="1"/>
      <color rgb="00FFFFFF"/>
      <sz val="11"/>
    </font>
    <font>
      <name val="Calibri"/>
      <b val="1"/>
      <color rgb="001F2A44"/>
      <sz val="11"/>
    </font>
    <font>
      <name val="Calibri"/>
      <color rgb="00555555"/>
      <sz val="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3FD"/>
      </patternFill>
    </fill>
  </fills>
  <borders count="2">
    <border>
      <left/>
      <right/>
      <top/>
      <bottom/>
      <diagonal/>
    </border>
    <border>
      <left style="thin">
        <color rgb="00B7C0D0"/>
      </left>
      <right style="thin">
        <color rgb="00B7C0D0"/>
      </right>
      <top style="thin">
        <color rgb="00B7C0D0"/>
      </top>
      <bottom style="thin">
        <color rgb="00B7C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EEF3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9" customWidth="1" min="5" max="5"/>
    <col width="40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Personne</t>
        </is>
      </c>
      <c r="C1" s="1" t="inlineStr">
        <is>
          <t>Projet</t>
        </is>
      </c>
      <c r="D1" s="1" t="inlineStr">
        <is>
          <t>Tâche</t>
        </is>
      </c>
      <c r="E1" s="1" t="inlineStr">
        <is>
          <t>Heures</t>
        </is>
      </c>
      <c r="F1" s="1" t="inlineStr">
        <is>
          <t>Commentaire</t>
        </is>
      </c>
      <c r="G1" s="1" t="inlineStr">
        <is>
          <t>Mois</t>
        </is>
      </c>
    </row>
    <row r="2">
      <c r="A2" s="2" t="n">
        <v>46029</v>
      </c>
      <c r="B2" s="3" t="inlineStr">
        <is>
          <t>Personne C</t>
        </is>
      </c>
      <c r="C2" s="3" t="inlineStr">
        <is>
          <t>Interne</t>
        </is>
      </c>
      <c r="D2" s="3" t="inlineStr">
        <is>
          <t>Réunion</t>
        </is>
      </c>
      <c r="E2" s="3" t="n">
        <v>2</v>
      </c>
      <c r="F2" s="3" t="inlineStr">
        <is>
          <t>Exemple fictif</t>
        </is>
      </c>
      <c r="G2">
        <f>IF(A2="","",MONTH(A2))</f>
        <v/>
      </c>
    </row>
    <row r="3">
      <c r="A3" s="2" t="n">
        <v>46032</v>
      </c>
      <c r="B3" s="3" t="inlineStr">
        <is>
          <t>Personne A</t>
        </is>
      </c>
      <c r="C3" s="3" t="inlineStr">
        <is>
          <t>Projet Alpha</t>
        </is>
      </c>
      <c r="D3" s="3" t="inlineStr">
        <is>
          <t>Gestion</t>
        </is>
      </c>
      <c r="E3" s="3" t="n">
        <v>7</v>
      </c>
      <c r="F3" s="3" t="inlineStr">
        <is>
          <t>Exemple fictif</t>
        </is>
      </c>
      <c r="G3">
        <f>IF(A3="","",MONTH(A3))</f>
        <v/>
      </c>
    </row>
    <row r="4">
      <c r="A4" s="2" t="n">
        <v>46035</v>
      </c>
      <c r="B4" s="3" t="inlineStr">
        <is>
          <t>Personne B</t>
        </is>
      </c>
      <c r="C4" s="3" t="inlineStr">
        <is>
          <t>Projet Beta</t>
        </is>
      </c>
      <c r="D4" s="3" t="inlineStr">
        <is>
          <t>Analyse</t>
        </is>
      </c>
      <c r="E4" s="3" t="n">
        <v>1</v>
      </c>
      <c r="F4" s="3" t="inlineStr">
        <is>
          <t>Exemple fictif</t>
        </is>
      </c>
      <c r="G4">
        <f>IF(A4="","",MONTH(A4))</f>
        <v/>
      </c>
    </row>
    <row r="5">
      <c r="A5" s="2" t="n">
        <v>46069</v>
      </c>
      <c r="B5" s="3" t="inlineStr">
        <is>
          <t>Personne C</t>
        </is>
      </c>
      <c r="C5" s="3" t="inlineStr">
        <is>
          <t>Interne</t>
        </is>
      </c>
      <c r="D5" s="3" t="inlineStr">
        <is>
          <t>Développement</t>
        </is>
      </c>
      <c r="E5" s="3" t="n">
        <v>3.5</v>
      </c>
      <c r="F5" s="3" t="inlineStr">
        <is>
          <t>Exemple fictif</t>
        </is>
      </c>
      <c r="G5">
        <f>IF(A5="","",MONTH(A5))</f>
        <v/>
      </c>
    </row>
    <row r="6">
      <c r="A6" s="2" t="n">
        <v>46072</v>
      </c>
      <c r="B6" s="3" t="inlineStr">
        <is>
          <t>Personne A</t>
        </is>
      </c>
      <c r="C6" s="3" t="inlineStr">
        <is>
          <t>Projet Alpha</t>
        </is>
      </c>
      <c r="D6" s="3" t="inlineStr">
        <is>
          <t>Réunion</t>
        </is>
      </c>
      <c r="E6" s="3" t="n">
        <v>1</v>
      </c>
      <c r="F6" s="3" t="inlineStr">
        <is>
          <t>Exemple fictif</t>
        </is>
      </c>
      <c r="G6">
        <f>IF(A6="","",MONTH(A6))</f>
        <v/>
      </c>
    </row>
    <row r="7">
      <c r="A7" s="2" t="n">
        <v>46075</v>
      </c>
      <c r="B7" s="3" t="inlineStr">
        <is>
          <t>Personne B</t>
        </is>
      </c>
      <c r="C7" s="3" t="inlineStr">
        <is>
          <t>Projet Beta</t>
        </is>
      </c>
      <c r="D7" s="3" t="inlineStr">
        <is>
          <t>Gestion</t>
        </is>
      </c>
      <c r="E7" s="3" t="n">
        <v>4</v>
      </c>
      <c r="F7" s="3" t="inlineStr">
        <is>
          <t>Exemple fictif</t>
        </is>
      </c>
      <c r="G7">
        <f>IF(A7="","",MONTH(A7))</f>
        <v/>
      </c>
    </row>
    <row r="8">
      <c r="A8" s="2" t="n">
        <v>46106</v>
      </c>
      <c r="B8" s="3" t="inlineStr">
        <is>
          <t>Personne C</t>
        </is>
      </c>
      <c r="C8" s="3" t="inlineStr">
        <is>
          <t>Interne</t>
        </is>
      </c>
      <c r="D8" s="3" t="inlineStr">
        <is>
          <t>Analyse</t>
        </is>
      </c>
      <c r="E8" s="3" t="n">
        <v>4</v>
      </c>
      <c r="F8" s="3" t="inlineStr">
        <is>
          <t>Exemple fictif</t>
        </is>
      </c>
      <c r="G8">
        <f>IF(A8="","",MONTH(A8))</f>
        <v/>
      </c>
    </row>
    <row r="9">
      <c r="A9" s="2" t="n">
        <v>46082</v>
      </c>
      <c r="B9" s="3" t="inlineStr">
        <is>
          <t>Personne A</t>
        </is>
      </c>
      <c r="C9" s="3" t="inlineStr">
        <is>
          <t>Projet Alpha</t>
        </is>
      </c>
      <c r="D9" s="3" t="inlineStr">
        <is>
          <t>Développement</t>
        </is>
      </c>
      <c r="E9" s="3" t="n">
        <v>4</v>
      </c>
      <c r="F9" s="3" t="inlineStr">
        <is>
          <t>Exemple fictif</t>
        </is>
      </c>
      <c r="G9">
        <f>IF(A9="","",MONTH(A9))</f>
        <v/>
      </c>
    </row>
    <row r="10">
      <c r="A10" s="2" t="n">
        <v>46085</v>
      </c>
      <c r="B10" s="3" t="inlineStr">
        <is>
          <t>Personne B</t>
        </is>
      </c>
      <c r="C10" s="3" t="inlineStr">
        <is>
          <t>Projet Beta</t>
        </is>
      </c>
      <c r="D10" s="3" t="inlineStr">
        <is>
          <t>Réunion</t>
        </is>
      </c>
      <c r="E10" s="3" t="n">
        <v>4</v>
      </c>
      <c r="F10" s="3" t="inlineStr">
        <is>
          <t>Exemple fictif</t>
        </is>
      </c>
      <c r="G10">
        <f>IF(A10="","",MONTH(A10))</f>
        <v/>
      </c>
    </row>
    <row r="11">
      <c r="A11" s="2" t="n">
        <v>46119</v>
      </c>
      <c r="B11" s="3" t="inlineStr">
        <is>
          <t>Personne C</t>
        </is>
      </c>
      <c r="C11" s="3" t="inlineStr">
        <is>
          <t>Interne</t>
        </is>
      </c>
      <c r="D11" s="3" t="inlineStr">
        <is>
          <t>Gestion</t>
        </is>
      </c>
      <c r="E11" s="3" t="n">
        <v>2</v>
      </c>
      <c r="F11" s="3" t="inlineStr">
        <is>
          <t>Exemple fictif</t>
        </is>
      </c>
      <c r="G11">
        <f>IF(A11="","",MONTH(A11))</f>
        <v/>
      </c>
    </row>
    <row r="12">
      <c r="A12" s="2" t="n">
        <v>46122</v>
      </c>
      <c r="B12" s="3" t="inlineStr">
        <is>
          <t>Personne A</t>
        </is>
      </c>
      <c r="C12" s="3" t="inlineStr">
        <is>
          <t>Projet Alpha</t>
        </is>
      </c>
      <c r="D12" s="3" t="inlineStr">
        <is>
          <t>Analyse</t>
        </is>
      </c>
      <c r="E12" s="3" t="n">
        <v>1</v>
      </c>
      <c r="F12" s="3" t="inlineStr">
        <is>
          <t>Exemple fictif</t>
        </is>
      </c>
      <c r="G12">
        <f>IF(A12="","",MONTH(A12))</f>
        <v/>
      </c>
    </row>
    <row r="13">
      <c r="A13" s="2" t="n">
        <v>46125</v>
      </c>
      <c r="B13" s="3" t="inlineStr">
        <is>
          <t>Personne B</t>
        </is>
      </c>
      <c r="C13" s="3" t="inlineStr">
        <is>
          <t>Projet Beta</t>
        </is>
      </c>
      <c r="D13" s="3" t="inlineStr">
        <is>
          <t>Développement</t>
        </is>
      </c>
      <c r="E13" s="3" t="n">
        <v>4</v>
      </c>
      <c r="F13" s="3" t="inlineStr">
        <is>
          <t>Exemple fictif</t>
        </is>
      </c>
      <c r="G13">
        <f>IF(A13="","",MONTH(A13))</f>
        <v/>
      </c>
    </row>
    <row r="14">
      <c r="A14" s="2" t="n">
        <v>46158</v>
      </c>
      <c r="B14" s="3" t="inlineStr">
        <is>
          <t>Personne C</t>
        </is>
      </c>
      <c r="C14" s="3" t="inlineStr">
        <is>
          <t>Interne</t>
        </is>
      </c>
      <c r="D14" s="3" t="inlineStr">
        <is>
          <t>Réunion</t>
        </is>
      </c>
      <c r="E14" s="3" t="n">
        <v>1</v>
      </c>
      <c r="F14" s="3" t="inlineStr">
        <is>
          <t>Exemple fictif</t>
        </is>
      </c>
      <c r="G14">
        <f>IF(A14="","",MONTH(A14))</f>
        <v/>
      </c>
    </row>
    <row r="15">
      <c r="A15" s="2" t="n">
        <v>46161</v>
      </c>
      <c r="B15" s="3" t="inlineStr">
        <is>
          <t>Personne A</t>
        </is>
      </c>
      <c r="C15" s="3" t="inlineStr">
        <is>
          <t>Projet Alpha</t>
        </is>
      </c>
      <c r="D15" s="3" t="inlineStr">
        <is>
          <t>Gestion</t>
        </is>
      </c>
      <c r="E15" s="3" t="n">
        <v>4</v>
      </c>
      <c r="F15" s="3" t="inlineStr">
        <is>
          <t>Exemple fictif</t>
        </is>
      </c>
      <c r="G15">
        <f>IF(A15="","",MONTH(A15))</f>
        <v/>
      </c>
    </row>
    <row r="16">
      <c r="A16" s="2" t="n">
        <v>46164</v>
      </c>
      <c r="B16" s="3" t="inlineStr">
        <is>
          <t>Personne B</t>
        </is>
      </c>
      <c r="C16" s="3" t="inlineStr">
        <is>
          <t>Projet Beta</t>
        </is>
      </c>
      <c r="D16" s="3" t="inlineStr">
        <is>
          <t>Analyse</t>
        </is>
      </c>
      <c r="E16" s="3" t="n">
        <v>4</v>
      </c>
      <c r="F16" s="3" t="inlineStr">
        <is>
          <t>Exemple fictif</t>
        </is>
      </c>
      <c r="G16">
        <f>IF(A16="","",MONTH(A16))</f>
        <v/>
      </c>
    </row>
    <row r="17">
      <c r="A17" s="2" t="n">
        <v>46198</v>
      </c>
      <c r="B17" s="3" t="inlineStr">
        <is>
          <t>Personne C</t>
        </is>
      </c>
      <c r="C17" s="3" t="inlineStr">
        <is>
          <t>Interne</t>
        </is>
      </c>
      <c r="D17" s="3" t="inlineStr">
        <is>
          <t>Développement</t>
        </is>
      </c>
      <c r="E17" s="3" t="n">
        <v>7</v>
      </c>
      <c r="F17" s="3" t="inlineStr">
        <is>
          <t>Exemple fictif</t>
        </is>
      </c>
      <c r="G17">
        <f>IF(A17="","",MONTH(A17))</f>
        <v/>
      </c>
    </row>
    <row r="18">
      <c r="A18" s="2" t="n">
        <v>46174</v>
      </c>
      <c r="B18" s="3" t="inlineStr">
        <is>
          <t>Personne A</t>
        </is>
      </c>
      <c r="C18" s="3" t="inlineStr">
        <is>
          <t>Projet Alpha</t>
        </is>
      </c>
      <c r="D18" s="3" t="inlineStr">
        <is>
          <t>Réunion</t>
        </is>
      </c>
      <c r="E18" s="3" t="n">
        <v>1</v>
      </c>
      <c r="F18" s="3" t="inlineStr">
        <is>
          <t>Exemple fictif</t>
        </is>
      </c>
      <c r="G18">
        <f>IF(A18="","",MONTH(A18))</f>
        <v/>
      </c>
    </row>
    <row r="19">
      <c r="A19" s="2" t="n">
        <v>46177</v>
      </c>
      <c r="B19" s="3" t="inlineStr">
        <is>
          <t>Personne B</t>
        </is>
      </c>
      <c r="C19" s="3" t="inlineStr">
        <is>
          <t>Projet Beta</t>
        </is>
      </c>
      <c r="D19" s="3" t="inlineStr">
        <is>
          <t>Gestion</t>
        </is>
      </c>
      <c r="E19" s="3" t="n">
        <v>4</v>
      </c>
      <c r="F19" s="3" t="inlineStr">
        <is>
          <t>Exemple fictif</t>
        </is>
      </c>
      <c r="G19">
        <f>IF(A19="","",MONTH(A19))</f>
        <v/>
      </c>
    </row>
    <row r="20">
      <c r="A20" s="2" t="n">
        <v>46210</v>
      </c>
      <c r="B20" s="3" t="inlineStr">
        <is>
          <t>Personne C</t>
        </is>
      </c>
      <c r="C20" s="3" t="inlineStr">
        <is>
          <t>Interne</t>
        </is>
      </c>
      <c r="D20" s="3" t="inlineStr">
        <is>
          <t>Analyse</t>
        </is>
      </c>
      <c r="E20" s="3" t="n">
        <v>3.5</v>
      </c>
      <c r="F20" s="3" t="inlineStr">
        <is>
          <t>Exemple fictif</t>
        </is>
      </c>
      <c r="G20">
        <f>IF(A20="","",MONTH(A20))</f>
        <v/>
      </c>
    </row>
    <row r="21">
      <c r="A21" s="2" t="n">
        <v>46213</v>
      </c>
      <c r="B21" s="3" t="inlineStr">
        <is>
          <t>Personne A</t>
        </is>
      </c>
      <c r="C21" s="3" t="inlineStr">
        <is>
          <t>Projet Alpha</t>
        </is>
      </c>
      <c r="D21" s="3" t="inlineStr">
        <is>
          <t>Développement</t>
        </is>
      </c>
      <c r="E21" s="3" t="n">
        <v>2</v>
      </c>
      <c r="F21" s="3" t="inlineStr">
        <is>
          <t>Exemple fictif</t>
        </is>
      </c>
      <c r="G21">
        <f>IF(A21="","",MONTH(A21))</f>
        <v/>
      </c>
    </row>
    <row r="22">
      <c r="A22" s="2" t="n">
        <v>46216</v>
      </c>
      <c r="B22" s="3" t="inlineStr">
        <is>
          <t>Personne B</t>
        </is>
      </c>
      <c r="C22" s="3" t="inlineStr">
        <is>
          <t>Projet Beta</t>
        </is>
      </c>
      <c r="D22" s="3" t="inlineStr">
        <is>
          <t>Réunion</t>
        </is>
      </c>
      <c r="E22" s="3" t="n">
        <v>7</v>
      </c>
      <c r="F22" s="3" t="inlineStr">
        <is>
          <t>Exemple fictif</t>
        </is>
      </c>
      <c r="G22">
        <f>IF(A22="","",MONTH(A22))</f>
        <v/>
      </c>
    </row>
    <row r="23">
      <c r="A23" s="2" t="n">
        <v>46250</v>
      </c>
      <c r="B23" s="3" t="inlineStr">
        <is>
          <t>Personne C</t>
        </is>
      </c>
      <c r="C23" s="3" t="inlineStr">
        <is>
          <t>Interne</t>
        </is>
      </c>
      <c r="D23" s="3" t="inlineStr">
        <is>
          <t>Gestion</t>
        </is>
      </c>
      <c r="E23" s="3" t="n">
        <v>1</v>
      </c>
      <c r="F23" s="3" t="inlineStr">
        <is>
          <t>Exemple fictif</t>
        </is>
      </c>
      <c r="G23">
        <f>IF(A23="","",MONTH(A23))</f>
        <v/>
      </c>
    </row>
    <row r="24">
      <c r="A24" s="2" t="n">
        <v>46253</v>
      </c>
      <c r="B24" s="3" t="inlineStr">
        <is>
          <t>Personne A</t>
        </is>
      </c>
      <c r="C24" s="3" t="inlineStr">
        <is>
          <t>Projet Alpha</t>
        </is>
      </c>
      <c r="D24" s="3" t="inlineStr">
        <is>
          <t>Analyse</t>
        </is>
      </c>
      <c r="E24" s="3" t="n">
        <v>3.5</v>
      </c>
      <c r="F24" s="3" t="inlineStr">
        <is>
          <t>Exemple fictif</t>
        </is>
      </c>
      <c r="G24">
        <f>IF(A24="","",MONTH(A24))</f>
        <v/>
      </c>
    </row>
    <row r="25">
      <c r="A25" s="2" t="n">
        <v>46256</v>
      </c>
      <c r="B25" s="3" t="inlineStr">
        <is>
          <t>Personne B</t>
        </is>
      </c>
      <c r="C25" s="3" t="inlineStr">
        <is>
          <t>Projet Beta</t>
        </is>
      </c>
      <c r="D25" s="3" t="inlineStr">
        <is>
          <t>Développement</t>
        </is>
      </c>
      <c r="E25" s="3" t="n">
        <v>1</v>
      </c>
      <c r="F25" s="3" t="inlineStr">
        <is>
          <t>Exemple fictif</t>
        </is>
      </c>
      <c r="G25">
        <f>IF(A25="","",MONTH(A25))</f>
        <v/>
      </c>
    </row>
    <row r="26">
      <c r="A26" s="2" t="n">
        <v>46290</v>
      </c>
      <c r="B26" s="3" t="inlineStr">
        <is>
          <t>Personne C</t>
        </is>
      </c>
      <c r="C26" s="3" t="inlineStr">
        <is>
          <t>Interne</t>
        </is>
      </c>
      <c r="D26" s="3" t="inlineStr">
        <is>
          <t>Réunion</t>
        </is>
      </c>
      <c r="E26" s="3" t="n">
        <v>1</v>
      </c>
      <c r="F26" s="3" t="inlineStr">
        <is>
          <t>Exemple fictif</t>
        </is>
      </c>
      <c r="G26">
        <f>IF(A26="","",MONTH(A26))</f>
        <v/>
      </c>
    </row>
    <row r="27">
      <c r="A27" s="2" t="n">
        <v>46266</v>
      </c>
      <c r="B27" s="3" t="inlineStr">
        <is>
          <t>Personne A</t>
        </is>
      </c>
      <c r="C27" s="3" t="inlineStr">
        <is>
          <t>Projet Alpha</t>
        </is>
      </c>
      <c r="D27" s="3" t="inlineStr">
        <is>
          <t>Gestion</t>
        </is>
      </c>
      <c r="E27" s="3" t="n">
        <v>1</v>
      </c>
      <c r="F27" s="3" t="inlineStr">
        <is>
          <t>Exemple fictif</t>
        </is>
      </c>
      <c r="G27">
        <f>IF(A27="","",MONTH(A27))</f>
        <v/>
      </c>
    </row>
    <row r="28">
      <c r="A28" s="2" t="n">
        <v>46269</v>
      </c>
      <c r="B28" s="3" t="inlineStr">
        <is>
          <t>Personne B</t>
        </is>
      </c>
      <c r="C28" s="3" t="inlineStr">
        <is>
          <t>Projet Beta</t>
        </is>
      </c>
      <c r="D28" s="3" t="inlineStr">
        <is>
          <t>Analyse</t>
        </is>
      </c>
      <c r="E28" s="3" t="n">
        <v>7</v>
      </c>
      <c r="F28" s="3" t="inlineStr">
        <is>
          <t>Exemple fictif</t>
        </is>
      </c>
      <c r="G28">
        <f>IF(A28="","",MONTH(A28))</f>
        <v/>
      </c>
    </row>
    <row r="29">
      <c r="A29" s="2" t="n">
        <v>46302</v>
      </c>
      <c r="B29" s="3" t="inlineStr">
        <is>
          <t>Personne C</t>
        </is>
      </c>
      <c r="C29" s="3" t="inlineStr">
        <is>
          <t>Interne</t>
        </is>
      </c>
      <c r="D29" s="3" t="inlineStr">
        <is>
          <t>Développement</t>
        </is>
      </c>
      <c r="E29" s="3" t="n">
        <v>1</v>
      </c>
      <c r="F29" s="3" t="inlineStr">
        <is>
          <t>Exemple fictif</t>
        </is>
      </c>
      <c r="G29">
        <f>IF(A29="","",MONTH(A29))</f>
        <v/>
      </c>
    </row>
    <row r="30">
      <c r="A30" s="2" t="n">
        <v>46305</v>
      </c>
      <c r="B30" s="3" t="inlineStr">
        <is>
          <t>Personne A</t>
        </is>
      </c>
      <c r="C30" s="3" t="inlineStr">
        <is>
          <t>Projet Alpha</t>
        </is>
      </c>
      <c r="D30" s="3" t="inlineStr">
        <is>
          <t>Réunion</t>
        </is>
      </c>
      <c r="E30" s="3" t="n">
        <v>4</v>
      </c>
      <c r="F30" s="3" t="inlineStr">
        <is>
          <t>Exemple fictif</t>
        </is>
      </c>
      <c r="G30">
        <f>IF(A30="","",MONTH(A30))</f>
        <v/>
      </c>
    </row>
    <row r="31">
      <c r="A31" s="2" t="n">
        <v>46308</v>
      </c>
      <c r="B31" s="3" t="inlineStr">
        <is>
          <t>Personne B</t>
        </is>
      </c>
      <c r="C31" s="3" t="inlineStr">
        <is>
          <t>Projet Beta</t>
        </is>
      </c>
      <c r="D31" s="3" t="inlineStr">
        <is>
          <t>Gestion</t>
        </is>
      </c>
      <c r="E31" s="3" t="n">
        <v>2</v>
      </c>
      <c r="F31" s="3" t="inlineStr">
        <is>
          <t>Exemple fictif</t>
        </is>
      </c>
      <c r="G31">
        <f>IF(A31="","",MONTH(A31))</f>
        <v/>
      </c>
    </row>
    <row r="32">
      <c r="A32" s="2" t="n"/>
      <c r="B32" s="3" t="n"/>
      <c r="C32" s="3" t="n"/>
      <c r="D32" s="3" t="n"/>
      <c r="E32" s="3" t="n"/>
      <c r="F32" s="3" t="n"/>
      <c r="G32">
        <f>IF(A32="","",MONTH(A32))</f>
        <v/>
      </c>
    </row>
    <row r="33">
      <c r="A33" s="2" t="n"/>
      <c r="B33" s="3" t="n"/>
      <c r="C33" s="3" t="n"/>
      <c r="D33" s="3" t="n"/>
      <c r="E33" s="3" t="n"/>
      <c r="F33" s="3" t="n"/>
      <c r="G33">
        <f>IF(A33="","",MONTH(A33))</f>
        <v/>
      </c>
    </row>
    <row r="34">
      <c r="A34" s="2" t="n"/>
      <c r="B34" s="3" t="n"/>
      <c r="C34" s="3" t="n"/>
      <c r="D34" s="3" t="n"/>
      <c r="E34" s="3" t="n"/>
      <c r="F34" s="3" t="n"/>
      <c r="G34">
        <f>IF(A34="","",MONTH(A34))</f>
        <v/>
      </c>
    </row>
    <row r="35">
      <c r="A35" s="2" t="n"/>
      <c r="B35" s="3" t="n"/>
      <c r="C35" s="3" t="n"/>
      <c r="D35" s="3" t="n"/>
      <c r="E35" s="3" t="n"/>
      <c r="F35" s="3" t="n"/>
      <c r="G35">
        <f>IF(A35="","",MONTH(A35))</f>
        <v/>
      </c>
    </row>
    <row r="36">
      <c r="A36" s="2" t="n"/>
      <c r="B36" s="3" t="n"/>
      <c r="C36" s="3" t="n"/>
      <c r="D36" s="3" t="n"/>
      <c r="E36" s="3" t="n"/>
      <c r="F36" s="3" t="n"/>
      <c r="G36">
        <f>IF(A36="","",MONTH(A36))</f>
        <v/>
      </c>
    </row>
    <row r="37">
      <c r="A37" s="2" t="n"/>
      <c r="B37" s="3" t="n"/>
      <c r="C37" s="3" t="n"/>
      <c r="D37" s="3" t="n"/>
      <c r="E37" s="3" t="n"/>
      <c r="F37" s="3" t="n"/>
      <c r="G37">
        <f>IF(A37="","",MONTH(A37))</f>
        <v/>
      </c>
    </row>
    <row r="38">
      <c r="A38" s="2" t="n"/>
      <c r="B38" s="3" t="n"/>
      <c r="C38" s="3" t="n"/>
      <c r="D38" s="3" t="n"/>
      <c r="E38" s="3" t="n"/>
      <c r="F38" s="3" t="n"/>
      <c r="G38">
        <f>IF(A38="","",MONTH(A38))</f>
        <v/>
      </c>
    </row>
    <row r="39">
      <c r="A39" s="2" t="n"/>
      <c r="B39" s="3" t="n"/>
      <c r="C39" s="3" t="n"/>
      <c r="D39" s="3" t="n"/>
      <c r="E39" s="3" t="n"/>
      <c r="F39" s="3" t="n"/>
      <c r="G39">
        <f>IF(A39="","",MONTH(A39))</f>
        <v/>
      </c>
    </row>
    <row r="40">
      <c r="A40" s="2" t="n"/>
      <c r="B40" s="3" t="n"/>
      <c r="C40" s="3" t="n"/>
      <c r="D40" s="3" t="n"/>
      <c r="E40" s="3" t="n"/>
      <c r="F40" s="3" t="n"/>
      <c r="G40">
        <f>IF(A40="","",MONTH(A40))</f>
        <v/>
      </c>
    </row>
    <row r="41">
      <c r="A41" s="2" t="n"/>
      <c r="B41" s="3" t="n"/>
      <c r="C41" s="3" t="n"/>
      <c r="D41" s="3" t="n"/>
      <c r="E41" s="3" t="n"/>
      <c r="F41" s="3" t="n"/>
      <c r="G41">
        <f>IF(A41="","",MONTH(A41))</f>
        <v/>
      </c>
    </row>
    <row r="42">
      <c r="A42" s="2" t="n"/>
      <c r="B42" s="3" t="n"/>
      <c r="C42" s="3" t="n"/>
      <c r="D42" s="3" t="n"/>
      <c r="E42" s="3" t="n"/>
      <c r="F42" s="3" t="n"/>
      <c r="G42">
        <f>IF(A42="","",MONTH(A42))</f>
        <v/>
      </c>
    </row>
    <row r="43">
      <c r="A43" s="2" t="n"/>
      <c r="B43" s="3" t="n"/>
      <c r="C43" s="3" t="n"/>
      <c r="D43" s="3" t="n"/>
      <c r="E43" s="3" t="n"/>
      <c r="F43" s="3" t="n"/>
      <c r="G43">
        <f>IF(A43="","",MONTH(A43))</f>
        <v/>
      </c>
    </row>
    <row r="44">
      <c r="A44" s="2" t="n"/>
      <c r="B44" s="3" t="n"/>
      <c r="C44" s="3" t="n"/>
      <c r="D44" s="3" t="n"/>
      <c r="E44" s="3" t="n"/>
      <c r="F44" s="3" t="n"/>
      <c r="G44">
        <f>IF(A44="","",MONTH(A44))</f>
        <v/>
      </c>
    </row>
    <row r="45">
      <c r="A45" s="2" t="n"/>
      <c r="B45" s="3" t="n"/>
      <c r="C45" s="3" t="n"/>
      <c r="D45" s="3" t="n"/>
      <c r="E45" s="3" t="n"/>
      <c r="F45" s="3" t="n"/>
      <c r="G45">
        <f>IF(A45="","",MONTH(A45))</f>
        <v/>
      </c>
    </row>
    <row r="46">
      <c r="A46" s="2" t="n"/>
      <c r="B46" s="3" t="n"/>
      <c r="C46" s="3" t="n"/>
      <c r="D46" s="3" t="n"/>
      <c r="E46" s="3" t="n"/>
      <c r="F46" s="3" t="n"/>
      <c r="G46">
        <f>IF(A46="","",MONTH(A46))</f>
        <v/>
      </c>
    </row>
    <row r="47">
      <c r="A47" s="2" t="n"/>
      <c r="B47" s="3" t="n"/>
      <c r="C47" s="3" t="n"/>
      <c r="D47" s="3" t="n"/>
      <c r="E47" s="3" t="n"/>
      <c r="F47" s="3" t="n"/>
      <c r="G47">
        <f>IF(A47="","",MONTH(A47))</f>
        <v/>
      </c>
    </row>
    <row r="48">
      <c r="A48" s="2" t="n"/>
      <c r="B48" s="3" t="n"/>
      <c r="C48" s="3" t="n"/>
      <c r="D48" s="3" t="n"/>
      <c r="E48" s="3" t="n"/>
      <c r="F48" s="3" t="n"/>
      <c r="G48">
        <f>IF(A48="","",MONTH(A48))</f>
        <v/>
      </c>
    </row>
    <row r="49">
      <c r="A49" s="2" t="n"/>
      <c r="B49" s="3" t="n"/>
      <c r="C49" s="3" t="n"/>
      <c r="D49" s="3" t="n"/>
      <c r="E49" s="3" t="n"/>
      <c r="F49" s="3" t="n"/>
      <c r="G49">
        <f>IF(A49="","",MONTH(A49))</f>
        <v/>
      </c>
    </row>
    <row r="50">
      <c r="A50" s="2" t="n"/>
      <c r="B50" s="3" t="n"/>
      <c r="C50" s="3" t="n"/>
      <c r="D50" s="3" t="n"/>
      <c r="E50" s="3" t="n"/>
      <c r="F50" s="3" t="n"/>
      <c r="G50">
        <f>IF(A50="","",MONTH(A50))</f>
        <v/>
      </c>
    </row>
    <row r="51">
      <c r="A51" s="2" t="n"/>
      <c r="B51" s="3" t="n"/>
      <c r="C51" s="3" t="n"/>
      <c r="D51" s="3" t="n"/>
      <c r="E51" s="3" t="n"/>
      <c r="F51" s="3" t="n"/>
      <c r="G51">
        <f>IF(A51="","",MONTH(A51))</f>
        <v/>
      </c>
    </row>
    <row r="52">
      <c r="A52" s="2" t="n"/>
      <c r="B52" s="3" t="n"/>
      <c r="C52" s="3" t="n"/>
      <c r="D52" s="3" t="n"/>
      <c r="E52" s="3" t="n"/>
      <c r="F52" s="3" t="n"/>
      <c r="G52">
        <f>IF(A52="","",MONTH(A52))</f>
        <v/>
      </c>
    </row>
    <row r="53">
      <c r="A53" s="2" t="n"/>
      <c r="B53" s="3" t="n"/>
      <c r="C53" s="3" t="n"/>
      <c r="D53" s="3" t="n"/>
      <c r="E53" s="3" t="n"/>
      <c r="F53" s="3" t="n"/>
      <c r="G53">
        <f>IF(A53="","",MONTH(A53))</f>
        <v/>
      </c>
    </row>
    <row r="54">
      <c r="A54" s="2" t="n"/>
      <c r="B54" s="3" t="n"/>
      <c r="C54" s="3" t="n"/>
      <c r="D54" s="3" t="n"/>
      <c r="E54" s="3" t="n"/>
      <c r="F54" s="3" t="n"/>
      <c r="G54">
        <f>IF(A54="","",MONTH(A54))</f>
        <v/>
      </c>
    </row>
    <row r="55">
      <c r="A55" s="2" t="n"/>
      <c r="B55" s="3" t="n"/>
      <c r="C55" s="3" t="n"/>
      <c r="D55" s="3" t="n"/>
      <c r="E55" s="3" t="n"/>
      <c r="F55" s="3" t="n"/>
      <c r="G55">
        <f>IF(A55="","",MONTH(A55))</f>
        <v/>
      </c>
    </row>
    <row r="56">
      <c r="A56" s="2" t="n"/>
      <c r="B56" s="3" t="n"/>
      <c r="C56" s="3" t="n"/>
      <c r="D56" s="3" t="n"/>
      <c r="E56" s="3" t="n"/>
      <c r="F56" s="3" t="n"/>
      <c r="G56">
        <f>IF(A56="","",MONTH(A56))</f>
        <v/>
      </c>
    </row>
    <row r="57">
      <c r="A57" s="2" t="n"/>
      <c r="B57" s="3" t="n"/>
      <c r="C57" s="3" t="n"/>
      <c r="D57" s="3" t="n"/>
      <c r="E57" s="3" t="n"/>
      <c r="F57" s="3" t="n"/>
      <c r="G57">
        <f>IF(A57="","",MONTH(A57))</f>
        <v/>
      </c>
    </row>
    <row r="58">
      <c r="A58" s="2" t="n"/>
      <c r="B58" s="3" t="n"/>
      <c r="C58" s="3" t="n"/>
      <c r="D58" s="3" t="n"/>
      <c r="E58" s="3" t="n"/>
      <c r="F58" s="3" t="n"/>
      <c r="G58">
        <f>IF(A58="","",MONTH(A58))</f>
        <v/>
      </c>
    </row>
    <row r="59">
      <c r="A59" s="2" t="n"/>
      <c r="B59" s="3" t="n"/>
      <c r="C59" s="3" t="n"/>
      <c r="D59" s="3" t="n"/>
      <c r="E59" s="3" t="n"/>
      <c r="F59" s="3" t="n"/>
      <c r="G59">
        <f>IF(A59="","",MONTH(A59))</f>
        <v/>
      </c>
    </row>
    <row r="60">
      <c r="A60" s="2" t="n"/>
      <c r="B60" s="3" t="n"/>
      <c r="C60" s="3" t="n"/>
      <c r="D60" s="3" t="n"/>
      <c r="E60" s="3" t="n"/>
      <c r="F60" s="3" t="n"/>
      <c r="G60">
        <f>IF(A60="","",MONTH(A60))</f>
        <v/>
      </c>
    </row>
    <row r="61">
      <c r="A61" s="2" t="n"/>
      <c r="B61" s="3" t="n"/>
      <c r="C61" s="3" t="n"/>
      <c r="D61" s="3" t="n"/>
      <c r="E61" s="3" t="n"/>
      <c r="F61" s="3" t="n"/>
      <c r="G61">
        <f>IF(A61="","",MONTH(A61))</f>
        <v/>
      </c>
    </row>
    <row r="62">
      <c r="A62" s="2" t="n"/>
      <c r="B62" s="3" t="n"/>
      <c r="C62" s="3" t="n"/>
      <c r="D62" s="3" t="n"/>
      <c r="E62" s="3" t="n"/>
      <c r="F62" s="3" t="n"/>
      <c r="G62">
        <f>IF(A62="","",MONTH(A62))</f>
        <v/>
      </c>
    </row>
    <row r="63">
      <c r="A63" s="2" t="n"/>
      <c r="B63" s="3" t="n"/>
      <c r="C63" s="3" t="n"/>
      <c r="D63" s="3" t="n"/>
      <c r="E63" s="3" t="n"/>
      <c r="F63" s="3" t="n"/>
      <c r="G63">
        <f>IF(A63="","",MONTH(A63))</f>
        <v/>
      </c>
    </row>
    <row r="64">
      <c r="A64" s="2" t="n"/>
      <c r="B64" s="3" t="n"/>
      <c r="C64" s="3" t="n"/>
      <c r="D64" s="3" t="n"/>
      <c r="E64" s="3" t="n"/>
      <c r="F64" s="3" t="n"/>
      <c r="G64">
        <f>IF(A64="","",MONTH(A64))</f>
        <v/>
      </c>
    </row>
    <row r="65">
      <c r="A65" s="2" t="n"/>
      <c r="B65" s="3" t="n"/>
      <c r="C65" s="3" t="n"/>
      <c r="D65" s="3" t="n"/>
      <c r="E65" s="3" t="n"/>
      <c r="F65" s="3" t="n"/>
      <c r="G65">
        <f>IF(A65="","",MONTH(A65))</f>
        <v/>
      </c>
    </row>
    <row r="66">
      <c r="A66" s="2" t="n"/>
      <c r="B66" s="3" t="n"/>
      <c r="C66" s="3" t="n"/>
      <c r="D66" s="3" t="n"/>
      <c r="E66" s="3" t="n"/>
      <c r="F66" s="3" t="n"/>
      <c r="G66">
        <f>IF(A66="","",MONTH(A66))</f>
        <v/>
      </c>
    </row>
    <row r="67">
      <c r="A67" s="2" t="n"/>
      <c r="B67" s="3" t="n"/>
      <c r="C67" s="3" t="n"/>
      <c r="D67" s="3" t="n"/>
      <c r="E67" s="3" t="n"/>
      <c r="F67" s="3" t="n"/>
      <c r="G67">
        <f>IF(A67="","",MONTH(A67))</f>
        <v/>
      </c>
    </row>
    <row r="68">
      <c r="A68" s="2" t="n"/>
      <c r="B68" s="3" t="n"/>
      <c r="C68" s="3" t="n"/>
      <c r="D68" s="3" t="n"/>
      <c r="E68" s="3" t="n"/>
      <c r="F68" s="3" t="n"/>
      <c r="G68">
        <f>IF(A68="","",MONTH(A68))</f>
        <v/>
      </c>
    </row>
    <row r="69">
      <c r="A69" s="2" t="n"/>
      <c r="B69" s="3" t="n"/>
      <c r="C69" s="3" t="n"/>
      <c r="D69" s="3" t="n"/>
      <c r="E69" s="3" t="n"/>
      <c r="F69" s="3" t="n"/>
      <c r="G69">
        <f>IF(A69="","",MONTH(A69))</f>
        <v/>
      </c>
    </row>
    <row r="70">
      <c r="A70" s="2" t="n"/>
      <c r="B70" s="3" t="n"/>
      <c r="C70" s="3" t="n"/>
      <c r="D70" s="3" t="n"/>
      <c r="E70" s="3" t="n"/>
      <c r="F70" s="3" t="n"/>
      <c r="G70">
        <f>IF(A70="","",MONTH(A70))</f>
        <v/>
      </c>
    </row>
    <row r="71">
      <c r="A71" s="2" t="n"/>
      <c r="B71" s="3" t="n"/>
      <c r="C71" s="3" t="n"/>
      <c r="D71" s="3" t="n"/>
      <c r="E71" s="3" t="n"/>
      <c r="F71" s="3" t="n"/>
      <c r="G71">
        <f>IF(A71="","",MONTH(A71))</f>
        <v/>
      </c>
    </row>
    <row r="72">
      <c r="A72" s="2" t="n"/>
      <c r="B72" s="3" t="n"/>
      <c r="C72" s="3" t="n"/>
      <c r="D72" s="3" t="n"/>
      <c r="E72" s="3" t="n"/>
      <c r="F72" s="3" t="n"/>
      <c r="G72">
        <f>IF(A72="","",MONTH(A72))</f>
        <v/>
      </c>
    </row>
    <row r="73">
      <c r="A73" s="2" t="n"/>
      <c r="B73" s="3" t="n"/>
      <c r="C73" s="3" t="n"/>
      <c r="D73" s="3" t="n"/>
      <c r="E73" s="3" t="n"/>
      <c r="F73" s="3" t="n"/>
      <c r="G73">
        <f>IF(A73="","",MONTH(A73))</f>
        <v/>
      </c>
    </row>
    <row r="74">
      <c r="A74" s="2" t="n"/>
      <c r="B74" s="3" t="n"/>
      <c r="C74" s="3" t="n"/>
      <c r="D74" s="3" t="n"/>
      <c r="E74" s="3" t="n"/>
      <c r="F74" s="3" t="n"/>
      <c r="G74">
        <f>IF(A74="","",MONTH(A74))</f>
        <v/>
      </c>
    </row>
    <row r="75">
      <c r="A75" s="2" t="n"/>
      <c r="B75" s="3" t="n"/>
      <c r="C75" s="3" t="n"/>
      <c r="D75" s="3" t="n"/>
      <c r="E75" s="3" t="n"/>
      <c r="F75" s="3" t="n"/>
      <c r="G75">
        <f>IF(A75="","",MONTH(A75))</f>
        <v/>
      </c>
    </row>
    <row r="76">
      <c r="A76" s="2" t="n"/>
      <c r="B76" s="3" t="n"/>
      <c r="C76" s="3" t="n"/>
      <c r="D76" s="3" t="n"/>
      <c r="E76" s="3" t="n"/>
      <c r="F76" s="3" t="n"/>
      <c r="G76">
        <f>IF(A76="","",MONTH(A76))</f>
        <v/>
      </c>
    </row>
    <row r="77">
      <c r="A77" s="2" t="n"/>
      <c r="B77" s="3" t="n"/>
      <c r="C77" s="3" t="n"/>
      <c r="D77" s="3" t="n"/>
      <c r="E77" s="3" t="n"/>
      <c r="F77" s="3" t="n"/>
      <c r="G77">
        <f>IF(A77="","",MONTH(A77))</f>
        <v/>
      </c>
    </row>
    <row r="78">
      <c r="A78" s="2" t="n"/>
      <c r="B78" s="3" t="n"/>
      <c r="C78" s="3" t="n"/>
      <c r="D78" s="3" t="n"/>
      <c r="E78" s="3" t="n"/>
      <c r="F78" s="3" t="n"/>
      <c r="G78">
        <f>IF(A78="","",MONTH(A78))</f>
        <v/>
      </c>
    </row>
    <row r="79">
      <c r="A79" s="2" t="n"/>
      <c r="B79" s="3" t="n"/>
      <c r="C79" s="3" t="n"/>
      <c r="D79" s="3" t="n"/>
      <c r="E79" s="3" t="n"/>
      <c r="F79" s="3" t="n"/>
      <c r="G79">
        <f>IF(A79="","",MONTH(A79))</f>
        <v/>
      </c>
    </row>
    <row r="80">
      <c r="A80" s="2" t="n"/>
      <c r="B80" s="3" t="n"/>
      <c r="C80" s="3" t="n"/>
      <c r="D80" s="3" t="n"/>
      <c r="E80" s="3" t="n"/>
      <c r="F80" s="3" t="n"/>
      <c r="G80">
        <f>IF(A80="","",MONTH(A80))</f>
        <v/>
      </c>
    </row>
    <row r="81">
      <c r="A81" s="2" t="n"/>
      <c r="B81" s="3" t="n"/>
      <c r="C81" s="3" t="n"/>
      <c r="D81" s="3" t="n"/>
      <c r="E81" s="3" t="n"/>
      <c r="F81" s="3" t="n"/>
      <c r="G81">
        <f>IF(A81="","",MONTH(A81))</f>
        <v/>
      </c>
    </row>
    <row r="82">
      <c r="A82" s="2" t="n"/>
      <c r="B82" s="3" t="n"/>
      <c r="C82" s="3" t="n"/>
      <c r="D82" s="3" t="n"/>
      <c r="E82" s="3" t="n"/>
      <c r="F82" s="3" t="n"/>
      <c r="G82">
        <f>IF(A82="","",MONTH(A82))</f>
        <v/>
      </c>
    </row>
    <row r="83">
      <c r="A83" s="2" t="n"/>
      <c r="B83" s="3" t="n"/>
      <c r="C83" s="3" t="n"/>
      <c r="D83" s="3" t="n"/>
      <c r="E83" s="3" t="n"/>
      <c r="F83" s="3" t="n"/>
      <c r="G83">
        <f>IF(A83="","",MONTH(A83))</f>
        <v/>
      </c>
    </row>
    <row r="84">
      <c r="A84" s="2" t="n"/>
      <c r="B84" s="3" t="n"/>
      <c r="C84" s="3" t="n"/>
      <c r="D84" s="3" t="n"/>
      <c r="E84" s="3" t="n"/>
      <c r="F84" s="3" t="n"/>
      <c r="G84">
        <f>IF(A84="","",MONTH(A84))</f>
        <v/>
      </c>
    </row>
    <row r="85">
      <c r="A85" s="2" t="n"/>
      <c r="B85" s="3" t="n"/>
      <c r="C85" s="3" t="n"/>
      <c r="D85" s="3" t="n"/>
      <c r="E85" s="3" t="n"/>
      <c r="F85" s="3" t="n"/>
      <c r="G85">
        <f>IF(A85="","",MONTH(A85))</f>
        <v/>
      </c>
    </row>
    <row r="86">
      <c r="A86" s="2" t="n"/>
      <c r="B86" s="3" t="n"/>
      <c r="C86" s="3" t="n"/>
      <c r="D86" s="3" t="n"/>
      <c r="E86" s="3" t="n"/>
      <c r="F86" s="3" t="n"/>
      <c r="G86">
        <f>IF(A86="","",MONTH(A86))</f>
        <v/>
      </c>
    </row>
    <row r="87">
      <c r="A87" s="2" t="n"/>
      <c r="B87" s="3" t="n"/>
      <c r="C87" s="3" t="n"/>
      <c r="D87" s="3" t="n"/>
      <c r="E87" s="3" t="n"/>
      <c r="F87" s="3" t="n"/>
      <c r="G87">
        <f>IF(A87="","",MONTH(A87))</f>
        <v/>
      </c>
    </row>
    <row r="88">
      <c r="A88" s="2" t="n"/>
      <c r="B88" s="3" t="n"/>
      <c r="C88" s="3" t="n"/>
      <c r="D88" s="3" t="n"/>
      <c r="E88" s="3" t="n"/>
      <c r="F88" s="3" t="n"/>
      <c r="G88">
        <f>IF(A88="","",MONTH(A88))</f>
        <v/>
      </c>
    </row>
    <row r="89">
      <c r="A89" s="2" t="n"/>
      <c r="B89" s="3" t="n"/>
      <c r="C89" s="3" t="n"/>
      <c r="D89" s="3" t="n"/>
      <c r="E89" s="3" t="n"/>
      <c r="F89" s="3" t="n"/>
      <c r="G89">
        <f>IF(A89="","",MONTH(A89))</f>
        <v/>
      </c>
    </row>
    <row r="90">
      <c r="A90" s="2" t="n"/>
      <c r="B90" s="3" t="n"/>
      <c r="C90" s="3" t="n"/>
      <c r="D90" s="3" t="n"/>
      <c r="E90" s="3" t="n"/>
      <c r="F90" s="3" t="n"/>
      <c r="G90">
        <f>IF(A90="","",MONTH(A90))</f>
        <v/>
      </c>
    </row>
    <row r="91">
      <c r="A91" s="2" t="n"/>
      <c r="B91" s="3" t="n"/>
      <c r="C91" s="3" t="n"/>
      <c r="D91" s="3" t="n"/>
      <c r="E91" s="3" t="n"/>
      <c r="F91" s="3" t="n"/>
      <c r="G91">
        <f>IF(A91="","",MONTH(A91))</f>
        <v/>
      </c>
    </row>
    <row r="92">
      <c r="A92" s="2" t="n"/>
      <c r="B92" s="3" t="n"/>
      <c r="C92" s="3" t="n"/>
      <c r="D92" s="3" t="n"/>
      <c r="E92" s="3" t="n"/>
      <c r="F92" s="3" t="n"/>
      <c r="G92">
        <f>IF(A92="","",MONTH(A92))</f>
        <v/>
      </c>
    </row>
    <row r="93">
      <c r="A93" s="2" t="n"/>
      <c r="B93" s="3" t="n"/>
      <c r="C93" s="3" t="n"/>
      <c r="D93" s="3" t="n"/>
      <c r="E93" s="3" t="n"/>
      <c r="F93" s="3" t="n"/>
      <c r="G93">
        <f>IF(A93="","",MONTH(A93))</f>
        <v/>
      </c>
    </row>
    <row r="94">
      <c r="A94" s="2" t="n"/>
      <c r="B94" s="3" t="n"/>
      <c r="C94" s="3" t="n"/>
      <c r="D94" s="3" t="n"/>
      <c r="E94" s="3" t="n"/>
      <c r="F94" s="3" t="n"/>
      <c r="G94">
        <f>IF(A94="","",MONTH(A94))</f>
        <v/>
      </c>
    </row>
    <row r="95">
      <c r="A95" s="2" t="n"/>
      <c r="B95" s="3" t="n"/>
      <c r="C95" s="3" t="n"/>
      <c r="D95" s="3" t="n"/>
      <c r="E95" s="3" t="n"/>
      <c r="F95" s="3" t="n"/>
      <c r="G95">
        <f>IF(A95="","",MONTH(A95))</f>
        <v/>
      </c>
    </row>
    <row r="96">
      <c r="A96" s="2" t="n"/>
      <c r="B96" s="3" t="n"/>
      <c r="C96" s="3" t="n"/>
      <c r="D96" s="3" t="n"/>
      <c r="E96" s="3" t="n"/>
      <c r="F96" s="3" t="n"/>
      <c r="G96">
        <f>IF(A96="","",MONTH(A96))</f>
        <v/>
      </c>
    </row>
    <row r="97">
      <c r="A97" s="2" t="n"/>
      <c r="B97" s="3" t="n"/>
      <c r="C97" s="3" t="n"/>
      <c r="D97" s="3" t="n"/>
      <c r="E97" s="3" t="n"/>
      <c r="F97" s="3" t="n"/>
      <c r="G97">
        <f>IF(A97="","",MONTH(A97))</f>
        <v/>
      </c>
    </row>
    <row r="98">
      <c r="A98" s="2" t="n"/>
      <c r="B98" s="3" t="n"/>
      <c r="C98" s="3" t="n"/>
      <c r="D98" s="3" t="n"/>
      <c r="E98" s="3" t="n"/>
      <c r="F98" s="3" t="n"/>
      <c r="G98">
        <f>IF(A98="","",MONTH(A98))</f>
        <v/>
      </c>
    </row>
    <row r="99">
      <c r="A99" s="2" t="n"/>
      <c r="B99" s="3" t="n"/>
      <c r="C99" s="3" t="n"/>
      <c r="D99" s="3" t="n"/>
      <c r="E99" s="3" t="n"/>
      <c r="F99" s="3" t="n"/>
      <c r="G99">
        <f>IF(A99="","",MONTH(A99))</f>
        <v/>
      </c>
    </row>
    <row r="100">
      <c r="A100" s="2" t="n"/>
      <c r="B100" s="3" t="n"/>
      <c r="C100" s="3" t="n"/>
      <c r="D100" s="3" t="n"/>
      <c r="E100" s="3" t="n"/>
      <c r="F100" s="3" t="n"/>
      <c r="G100">
        <f>IF(A100="","",MONTH(A100))</f>
        <v/>
      </c>
    </row>
    <row r="101">
      <c r="A101" s="2" t="n"/>
      <c r="B101" s="3" t="n"/>
      <c r="C101" s="3" t="n"/>
      <c r="D101" s="3" t="n"/>
      <c r="E101" s="3" t="n"/>
      <c r="F101" s="3" t="n"/>
      <c r="G101">
        <f>IF(A101="","",MONTH(A101))</f>
        <v/>
      </c>
    </row>
    <row r="102">
      <c r="A102" s="2" t="n"/>
      <c r="B102" s="3" t="n"/>
      <c r="C102" s="3" t="n"/>
      <c r="D102" s="3" t="n"/>
      <c r="E102" s="3" t="n"/>
      <c r="F102" s="3" t="n"/>
      <c r="G102">
        <f>IF(A102="","",MONTH(A102))</f>
        <v/>
      </c>
    </row>
    <row r="103">
      <c r="A103" s="2" t="n"/>
      <c r="B103" s="3" t="n"/>
      <c r="C103" s="3" t="n"/>
      <c r="D103" s="3" t="n"/>
      <c r="E103" s="3" t="n"/>
      <c r="F103" s="3" t="n"/>
      <c r="G103">
        <f>IF(A103="","",MONTH(A103))</f>
        <v/>
      </c>
    </row>
    <row r="104">
      <c r="A104" s="2" t="n"/>
      <c r="B104" s="3" t="n"/>
      <c r="C104" s="3" t="n"/>
      <c r="D104" s="3" t="n"/>
      <c r="E104" s="3" t="n"/>
      <c r="F104" s="3" t="n"/>
      <c r="G104">
        <f>IF(A104="","",MONTH(A104))</f>
        <v/>
      </c>
    </row>
    <row r="105">
      <c r="A105" s="2" t="n"/>
      <c r="B105" s="3" t="n"/>
      <c r="C105" s="3" t="n"/>
      <c r="D105" s="3" t="n"/>
      <c r="E105" s="3" t="n"/>
      <c r="F105" s="3" t="n"/>
      <c r="G105">
        <f>IF(A105="","",MONTH(A105))</f>
        <v/>
      </c>
    </row>
    <row r="106">
      <c r="A106" s="2" t="n"/>
      <c r="B106" s="3" t="n"/>
      <c r="C106" s="3" t="n"/>
      <c r="D106" s="3" t="n"/>
      <c r="E106" s="3" t="n"/>
      <c r="F106" s="3" t="n"/>
      <c r="G106">
        <f>IF(A106="","",MONTH(A106))</f>
        <v/>
      </c>
    </row>
    <row r="107">
      <c r="A107" s="2" t="n"/>
      <c r="B107" s="3" t="n"/>
      <c r="C107" s="3" t="n"/>
      <c r="D107" s="3" t="n"/>
      <c r="E107" s="3" t="n"/>
      <c r="F107" s="3" t="n"/>
      <c r="G107">
        <f>IF(A107="","",MONTH(A107))</f>
        <v/>
      </c>
    </row>
    <row r="108">
      <c r="A108" s="2" t="n"/>
      <c r="B108" s="3" t="n"/>
      <c r="C108" s="3" t="n"/>
      <c r="D108" s="3" t="n"/>
      <c r="E108" s="3" t="n"/>
      <c r="F108" s="3" t="n"/>
      <c r="G108">
        <f>IF(A108="","",MONTH(A108))</f>
        <v/>
      </c>
    </row>
    <row r="109">
      <c r="A109" s="2" t="n"/>
      <c r="B109" s="3" t="n"/>
      <c r="C109" s="3" t="n"/>
      <c r="D109" s="3" t="n"/>
      <c r="E109" s="3" t="n"/>
      <c r="F109" s="3" t="n"/>
      <c r="G109">
        <f>IF(A109="","",MONTH(A109))</f>
        <v/>
      </c>
    </row>
    <row r="110">
      <c r="A110" s="2" t="n"/>
      <c r="B110" s="3" t="n"/>
      <c r="C110" s="3" t="n"/>
      <c r="D110" s="3" t="n"/>
      <c r="E110" s="3" t="n"/>
      <c r="F110" s="3" t="n"/>
      <c r="G110">
        <f>IF(A110="","",MONTH(A110))</f>
        <v/>
      </c>
    </row>
    <row r="111">
      <c r="A111" s="2" t="n"/>
      <c r="B111" s="3" t="n"/>
      <c r="C111" s="3" t="n"/>
      <c r="D111" s="3" t="n"/>
      <c r="E111" s="3" t="n"/>
      <c r="F111" s="3" t="n"/>
      <c r="G111">
        <f>IF(A111="","",MONTH(A111))</f>
        <v/>
      </c>
    </row>
    <row r="112">
      <c r="A112" s="2" t="n"/>
      <c r="B112" s="3" t="n"/>
      <c r="C112" s="3" t="n"/>
      <c r="D112" s="3" t="n"/>
      <c r="E112" s="3" t="n"/>
      <c r="F112" s="3" t="n"/>
      <c r="G112">
        <f>IF(A112="","",MONTH(A112))</f>
        <v/>
      </c>
    </row>
    <row r="113">
      <c r="A113" s="2" t="n"/>
      <c r="B113" s="3" t="n"/>
      <c r="C113" s="3" t="n"/>
      <c r="D113" s="3" t="n"/>
      <c r="E113" s="3" t="n"/>
      <c r="F113" s="3" t="n"/>
      <c r="G113">
        <f>IF(A113="","",MONTH(A113))</f>
        <v/>
      </c>
    </row>
    <row r="114">
      <c r="A114" s="2" t="n"/>
      <c r="B114" s="3" t="n"/>
      <c r="C114" s="3" t="n"/>
      <c r="D114" s="3" t="n"/>
      <c r="E114" s="3" t="n"/>
      <c r="F114" s="3" t="n"/>
      <c r="G114">
        <f>IF(A114="","",MONTH(A114))</f>
        <v/>
      </c>
    </row>
    <row r="115">
      <c r="A115" s="2" t="n"/>
      <c r="B115" s="3" t="n"/>
      <c r="C115" s="3" t="n"/>
      <c r="D115" s="3" t="n"/>
      <c r="E115" s="3" t="n"/>
      <c r="F115" s="3" t="n"/>
      <c r="G115">
        <f>IF(A115="","",MONTH(A115))</f>
        <v/>
      </c>
    </row>
    <row r="116">
      <c r="A116" s="2" t="n"/>
      <c r="B116" s="3" t="n"/>
      <c r="C116" s="3" t="n"/>
      <c r="D116" s="3" t="n"/>
      <c r="E116" s="3" t="n"/>
      <c r="F116" s="3" t="n"/>
      <c r="G116">
        <f>IF(A116="","",MONTH(A116))</f>
        <v/>
      </c>
    </row>
    <row r="117">
      <c r="A117" s="2" t="n"/>
      <c r="B117" s="3" t="n"/>
      <c r="C117" s="3" t="n"/>
      <c r="D117" s="3" t="n"/>
      <c r="E117" s="3" t="n"/>
      <c r="F117" s="3" t="n"/>
      <c r="G117">
        <f>IF(A117="","",MONTH(A117))</f>
        <v/>
      </c>
    </row>
    <row r="118">
      <c r="A118" s="2" t="n"/>
      <c r="B118" s="3" t="n"/>
      <c r="C118" s="3" t="n"/>
      <c r="D118" s="3" t="n"/>
      <c r="E118" s="3" t="n"/>
      <c r="F118" s="3" t="n"/>
      <c r="G118">
        <f>IF(A118="","",MONTH(A118))</f>
        <v/>
      </c>
    </row>
    <row r="119">
      <c r="A119" s="2" t="n"/>
      <c r="B119" s="3" t="n"/>
      <c r="C119" s="3" t="n"/>
      <c r="D119" s="3" t="n"/>
      <c r="E119" s="3" t="n"/>
      <c r="F119" s="3" t="n"/>
      <c r="G119">
        <f>IF(A119="","",MONTH(A119))</f>
        <v/>
      </c>
    </row>
    <row r="120">
      <c r="A120" s="2" t="n"/>
      <c r="B120" s="3" t="n"/>
      <c r="C120" s="3" t="n"/>
      <c r="D120" s="3" t="n"/>
      <c r="E120" s="3" t="n"/>
      <c r="F120" s="3" t="n"/>
      <c r="G120">
        <f>IF(A120="","",MONTH(A120))</f>
        <v/>
      </c>
    </row>
    <row r="121">
      <c r="A121" s="2" t="n"/>
      <c r="B121" s="3" t="n"/>
      <c r="C121" s="3" t="n"/>
      <c r="D121" s="3" t="n"/>
      <c r="E121" s="3" t="n"/>
      <c r="F121" s="3" t="n"/>
      <c r="G121">
        <f>IF(A121="","",MONTH(A121))</f>
        <v/>
      </c>
    </row>
    <row r="122">
      <c r="A122" s="2" t="n"/>
      <c r="B122" s="3" t="n"/>
      <c r="C122" s="3" t="n"/>
      <c r="D122" s="3" t="n"/>
      <c r="E122" s="3" t="n"/>
      <c r="F122" s="3" t="n"/>
      <c r="G122">
        <f>IF(A122="","",MONTH(A122))</f>
        <v/>
      </c>
    </row>
    <row r="123">
      <c r="A123" s="2" t="n"/>
      <c r="B123" s="3" t="n"/>
      <c r="C123" s="3" t="n"/>
      <c r="D123" s="3" t="n"/>
      <c r="E123" s="3" t="n"/>
      <c r="F123" s="3" t="n"/>
      <c r="G123">
        <f>IF(A123="","",MONTH(A123))</f>
        <v/>
      </c>
    </row>
    <row r="124">
      <c r="A124" s="2" t="n"/>
      <c r="B124" s="3" t="n"/>
      <c r="C124" s="3" t="n"/>
      <c r="D124" s="3" t="n"/>
      <c r="E124" s="3" t="n"/>
      <c r="F124" s="3" t="n"/>
      <c r="G124">
        <f>IF(A124="","",MONTH(A124))</f>
        <v/>
      </c>
    </row>
    <row r="125">
      <c r="A125" s="2" t="n"/>
      <c r="B125" s="3" t="n"/>
      <c r="C125" s="3" t="n"/>
      <c r="D125" s="3" t="n"/>
      <c r="E125" s="3" t="n"/>
      <c r="F125" s="3" t="n"/>
      <c r="G125">
        <f>IF(A125="","",MONTH(A125))</f>
        <v/>
      </c>
    </row>
    <row r="126">
      <c r="A126" s="2" t="n"/>
      <c r="B126" s="3" t="n"/>
      <c r="C126" s="3" t="n"/>
      <c r="D126" s="3" t="n"/>
      <c r="E126" s="3" t="n"/>
      <c r="F126" s="3" t="n"/>
      <c r="G126">
        <f>IF(A126="","",MONTH(A126))</f>
        <v/>
      </c>
    </row>
    <row r="127">
      <c r="A127" s="2" t="n"/>
      <c r="B127" s="3" t="n"/>
      <c r="C127" s="3" t="n"/>
      <c r="D127" s="3" t="n"/>
      <c r="E127" s="3" t="n"/>
      <c r="F127" s="3" t="n"/>
      <c r="G127">
        <f>IF(A127="","",MONTH(A127))</f>
        <v/>
      </c>
    </row>
    <row r="128">
      <c r="A128" s="2" t="n"/>
      <c r="B128" s="3" t="n"/>
      <c r="C128" s="3" t="n"/>
      <c r="D128" s="3" t="n"/>
      <c r="E128" s="3" t="n"/>
      <c r="F128" s="3" t="n"/>
      <c r="G128">
        <f>IF(A128="","",MONTH(A128))</f>
        <v/>
      </c>
    </row>
    <row r="129">
      <c r="A129" s="2" t="n"/>
      <c r="B129" s="3" t="n"/>
      <c r="C129" s="3" t="n"/>
      <c r="D129" s="3" t="n"/>
      <c r="E129" s="3" t="n"/>
      <c r="F129" s="3" t="n"/>
      <c r="G129">
        <f>IF(A129="","",MONTH(A129))</f>
        <v/>
      </c>
    </row>
    <row r="130">
      <c r="A130" s="2" t="n"/>
      <c r="B130" s="3" t="n"/>
      <c r="C130" s="3" t="n"/>
      <c r="D130" s="3" t="n"/>
      <c r="E130" s="3" t="n"/>
      <c r="F130" s="3" t="n"/>
      <c r="G130">
        <f>IF(A130="","",MONTH(A130))</f>
        <v/>
      </c>
    </row>
    <row r="131">
      <c r="A131" s="2" t="n"/>
      <c r="B131" s="3" t="n"/>
      <c r="C131" s="3" t="n"/>
      <c r="D131" s="3" t="n"/>
      <c r="E131" s="3" t="n"/>
      <c r="F131" s="3" t="n"/>
      <c r="G131">
        <f>IF(A131="","",MONTH(A131))</f>
        <v/>
      </c>
    </row>
    <row r="132">
      <c r="A132" s="2" t="n"/>
      <c r="B132" s="3" t="n"/>
      <c r="C132" s="3" t="n"/>
      <c r="D132" s="3" t="n"/>
      <c r="E132" s="3" t="n"/>
      <c r="F132" s="3" t="n"/>
      <c r="G132">
        <f>IF(A132="","",MONTH(A132))</f>
        <v/>
      </c>
    </row>
    <row r="133">
      <c r="A133" s="2" t="n"/>
      <c r="B133" s="3" t="n"/>
      <c r="C133" s="3" t="n"/>
      <c r="D133" s="3" t="n"/>
      <c r="E133" s="3" t="n"/>
      <c r="F133" s="3" t="n"/>
      <c r="G133">
        <f>IF(A133="","",MONTH(A133))</f>
        <v/>
      </c>
    </row>
    <row r="134">
      <c r="A134" s="2" t="n"/>
      <c r="B134" s="3" t="n"/>
      <c r="C134" s="3" t="n"/>
      <c r="D134" s="3" t="n"/>
      <c r="E134" s="3" t="n"/>
      <c r="F134" s="3" t="n"/>
      <c r="G134">
        <f>IF(A134="","",MONTH(A134))</f>
        <v/>
      </c>
    </row>
    <row r="135">
      <c r="A135" s="2" t="n"/>
      <c r="B135" s="3" t="n"/>
      <c r="C135" s="3" t="n"/>
      <c r="D135" s="3" t="n"/>
      <c r="E135" s="3" t="n"/>
      <c r="F135" s="3" t="n"/>
      <c r="G135">
        <f>IF(A135="","",MONTH(A135))</f>
        <v/>
      </c>
    </row>
    <row r="136">
      <c r="A136" s="2" t="n"/>
      <c r="B136" s="3" t="n"/>
      <c r="C136" s="3" t="n"/>
      <c r="D136" s="3" t="n"/>
      <c r="E136" s="3" t="n"/>
      <c r="F136" s="3" t="n"/>
      <c r="G136">
        <f>IF(A136="","",MONTH(A136))</f>
        <v/>
      </c>
    </row>
    <row r="137">
      <c r="A137" s="2" t="n"/>
      <c r="B137" s="3" t="n"/>
      <c r="C137" s="3" t="n"/>
      <c r="D137" s="3" t="n"/>
      <c r="E137" s="3" t="n"/>
      <c r="F137" s="3" t="n"/>
      <c r="G137">
        <f>IF(A137="","",MONTH(A137))</f>
        <v/>
      </c>
    </row>
    <row r="138">
      <c r="A138" s="2" t="n"/>
      <c r="B138" s="3" t="n"/>
      <c r="C138" s="3" t="n"/>
      <c r="D138" s="3" t="n"/>
      <c r="E138" s="3" t="n"/>
      <c r="F138" s="3" t="n"/>
      <c r="G138">
        <f>IF(A138="","",MONTH(A138))</f>
        <v/>
      </c>
    </row>
    <row r="139">
      <c r="A139" s="2" t="n"/>
      <c r="B139" s="3" t="n"/>
      <c r="C139" s="3" t="n"/>
      <c r="D139" s="3" t="n"/>
      <c r="E139" s="3" t="n"/>
      <c r="F139" s="3" t="n"/>
      <c r="G139">
        <f>IF(A139="","",MONTH(A139))</f>
        <v/>
      </c>
    </row>
    <row r="140">
      <c r="A140" s="2" t="n"/>
      <c r="B140" s="3" t="n"/>
      <c r="C140" s="3" t="n"/>
      <c r="D140" s="3" t="n"/>
      <c r="E140" s="3" t="n"/>
      <c r="F140" s="3" t="n"/>
      <c r="G140">
        <f>IF(A140="","",MONTH(A140))</f>
        <v/>
      </c>
    </row>
    <row r="141">
      <c r="A141" s="2" t="n"/>
      <c r="B141" s="3" t="n"/>
      <c r="C141" s="3" t="n"/>
      <c r="D141" s="3" t="n"/>
      <c r="E141" s="3" t="n"/>
      <c r="F141" s="3" t="n"/>
      <c r="G141">
        <f>IF(A141="","",MONTH(A141))</f>
        <v/>
      </c>
    </row>
    <row r="142">
      <c r="A142" s="2" t="n"/>
      <c r="B142" s="3" t="n"/>
      <c r="C142" s="3" t="n"/>
      <c r="D142" s="3" t="n"/>
      <c r="E142" s="3" t="n"/>
      <c r="F142" s="3" t="n"/>
      <c r="G142">
        <f>IF(A142="","",MONTH(A142))</f>
        <v/>
      </c>
    </row>
    <row r="143">
      <c r="A143" s="2" t="n"/>
      <c r="B143" s="3" t="n"/>
      <c r="C143" s="3" t="n"/>
      <c r="D143" s="3" t="n"/>
      <c r="E143" s="3" t="n"/>
      <c r="F143" s="3" t="n"/>
      <c r="G143">
        <f>IF(A143="","",MONTH(A143))</f>
        <v/>
      </c>
    </row>
    <row r="144">
      <c r="A144" s="2" t="n"/>
      <c r="B144" s="3" t="n"/>
      <c r="C144" s="3" t="n"/>
      <c r="D144" s="3" t="n"/>
      <c r="E144" s="3" t="n"/>
      <c r="F144" s="3" t="n"/>
      <c r="G144">
        <f>IF(A144="","",MONTH(A144))</f>
        <v/>
      </c>
    </row>
    <row r="145">
      <c r="A145" s="2" t="n"/>
      <c r="B145" s="3" t="n"/>
      <c r="C145" s="3" t="n"/>
      <c r="D145" s="3" t="n"/>
      <c r="E145" s="3" t="n"/>
      <c r="F145" s="3" t="n"/>
      <c r="G145">
        <f>IF(A145="","",MONTH(A145))</f>
        <v/>
      </c>
    </row>
    <row r="146">
      <c r="A146" s="2" t="n"/>
      <c r="B146" s="3" t="n"/>
      <c r="C146" s="3" t="n"/>
      <c r="D146" s="3" t="n"/>
      <c r="E146" s="3" t="n"/>
      <c r="F146" s="3" t="n"/>
      <c r="G146">
        <f>IF(A146="","",MONTH(A146))</f>
        <v/>
      </c>
    </row>
    <row r="147">
      <c r="A147" s="2" t="n"/>
      <c r="B147" s="3" t="n"/>
      <c r="C147" s="3" t="n"/>
      <c r="D147" s="3" t="n"/>
      <c r="E147" s="3" t="n"/>
      <c r="F147" s="3" t="n"/>
      <c r="G147">
        <f>IF(A147="","",MONTH(A147))</f>
        <v/>
      </c>
    </row>
    <row r="148">
      <c r="A148" s="2" t="n"/>
      <c r="B148" s="3" t="n"/>
      <c r="C148" s="3" t="n"/>
      <c r="D148" s="3" t="n"/>
      <c r="E148" s="3" t="n"/>
      <c r="F148" s="3" t="n"/>
      <c r="G148">
        <f>IF(A148="","",MONTH(A148))</f>
        <v/>
      </c>
    </row>
    <row r="149">
      <c r="A149" s="2" t="n"/>
      <c r="B149" s="3" t="n"/>
      <c r="C149" s="3" t="n"/>
      <c r="D149" s="3" t="n"/>
      <c r="E149" s="3" t="n"/>
      <c r="F149" s="3" t="n"/>
      <c r="G149">
        <f>IF(A149="","",MONTH(A149))</f>
        <v/>
      </c>
    </row>
    <row r="150">
      <c r="A150" s="2" t="n"/>
      <c r="B150" s="3" t="n"/>
      <c r="C150" s="3" t="n"/>
      <c r="D150" s="3" t="n"/>
      <c r="E150" s="3" t="n"/>
      <c r="F150" s="3" t="n"/>
      <c r="G150">
        <f>IF(A150="","",MONTH(A150))</f>
        <v/>
      </c>
    </row>
    <row r="151">
      <c r="A151" s="2" t="n"/>
      <c r="B151" s="3" t="n"/>
      <c r="C151" s="3" t="n"/>
      <c r="D151" s="3" t="n"/>
      <c r="E151" s="3" t="n"/>
      <c r="F151" s="3" t="n"/>
      <c r="G151">
        <f>IF(A151="","",MONTH(A151))</f>
        <v/>
      </c>
    </row>
    <row r="152">
      <c r="A152" s="2" t="n"/>
      <c r="B152" s="3" t="n"/>
      <c r="C152" s="3" t="n"/>
      <c r="D152" s="3" t="n"/>
      <c r="E152" s="3" t="n"/>
      <c r="F152" s="3" t="n"/>
      <c r="G152">
        <f>IF(A152="","",MONTH(A152))</f>
        <v/>
      </c>
    </row>
    <row r="153">
      <c r="A153" s="2" t="n"/>
      <c r="B153" s="3" t="n"/>
      <c r="C153" s="3" t="n"/>
      <c r="D153" s="3" t="n"/>
      <c r="E153" s="3" t="n"/>
      <c r="F153" s="3" t="n"/>
      <c r="G153">
        <f>IF(A153="","",MONTH(A153))</f>
        <v/>
      </c>
    </row>
    <row r="154">
      <c r="A154" s="2" t="n"/>
      <c r="B154" s="3" t="n"/>
      <c r="C154" s="3" t="n"/>
      <c r="D154" s="3" t="n"/>
      <c r="E154" s="3" t="n"/>
      <c r="F154" s="3" t="n"/>
      <c r="G154">
        <f>IF(A154="","",MONTH(A154))</f>
        <v/>
      </c>
    </row>
    <row r="155">
      <c r="A155" s="2" t="n"/>
      <c r="B155" s="3" t="n"/>
      <c r="C155" s="3" t="n"/>
      <c r="D155" s="3" t="n"/>
      <c r="E155" s="3" t="n"/>
      <c r="F155" s="3" t="n"/>
      <c r="G155">
        <f>IF(A155="","",MONTH(A155))</f>
        <v/>
      </c>
    </row>
    <row r="156">
      <c r="A156" s="2" t="n"/>
      <c r="B156" s="3" t="n"/>
      <c r="C156" s="3" t="n"/>
      <c r="D156" s="3" t="n"/>
      <c r="E156" s="3" t="n"/>
      <c r="F156" s="3" t="n"/>
      <c r="G156">
        <f>IF(A156="","",MONTH(A156))</f>
        <v/>
      </c>
    </row>
    <row r="157">
      <c r="A157" s="2" t="n"/>
      <c r="B157" s="3" t="n"/>
      <c r="C157" s="3" t="n"/>
      <c r="D157" s="3" t="n"/>
      <c r="E157" s="3" t="n"/>
      <c r="F157" s="3" t="n"/>
      <c r="G157">
        <f>IF(A157="","",MONTH(A157))</f>
        <v/>
      </c>
    </row>
    <row r="158">
      <c r="A158" s="2" t="n"/>
      <c r="B158" s="3" t="n"/>
      <c r="C158" s="3" t="n"/>
      <c r="D158" s="3" t="n"/>
      <c r="E158" s="3" t="n"/>
      <c r="F158" s="3" t="n"/>
      <c r="G158">
        <f>IF(A158="","",MONTH(A158))</f>
        <v/>
      </c>
    </row>
    <row r="159">
      <c r="A159" s="2" t="n"/>
      <c r="B159" s="3" t="n"/>
      <c r="C159" s="3" t="n"/>
      <c r="D159" s="3" t="n"/>
      <c r="E159" s="3" t="n"/>
      <c r="F159" s="3" t="n"/>
      <c r="G159">
        <f>IF(A159="","",MONTH(A159))</f>
        <v/>
      </c>
    </row>
    <row r="160">
      <c r="A160" s="2" t="n"/>
      <c r="B160" s="3" t="n"/>
      <c r="C160" s="3" t="n"/>
      <c r="D160" s="3" t="n"/>
      <c r="E160" s="3" t="n"/>
      <c r="F160" s="3" t="n"/>
      <c r="G160">
        <f>IF(A160="","",MONTH(A160))</f>
        <v/>
      </c>
    </row>
    <row r="161">
      <c r="A161" s="2" t="n"/>
      <c r="B161" s="3" t="n"/>
      <c r="C161" s="3" t="n"/>
      <c r="D161" s="3" t="n"/>
      <c r="E161" s="3" t="n"/>
      <c r="F161" s="3" t="n"/>
      <c r="G161">
        <f>IF(A161="","",MONTH(A161))</f>
        <v/>
      </c>
    </row>
    <row r="162">
      <c r="A162" s="2" t="n"/>
      <c r="B162" s="3" t="n"/>
      <c r="C162" s="3" t="n"/>
      <c r="D162" s="3" t="n"/>
      <c r="E162" s="3" t="n"/>
      <c r="F162" s="3" t="n"/>
      <c r="G162">
        <f>IF(A162="","",MONTH(A162))</f>
        <v/>
      </c>
    </row>
    <row r="163">
      <c r="A163" s="2" t="n"/>
      <c r="B163" s="3" t="n"/>
      <c r="C163" s="3" t="n"/>
      <c r="D163" s="3" t="n"/>
      <c r="E163" s="3" t="n"/>
      <c r="F163" s="3" t="n"/>
      <c r="G163">
        <f>IF(A163="","",MONTH(A163))</f>
        <v/>
      </c>
    </row>
    <row r="164">
      <c r="A164" s="2" t="n"/>
      <c r="B164" s="3" t="n"/>
      <c r="C164" s="3" t="n"/>
      <c r="D164" s="3" t="n"/>
      <c r="E164" s="3" t="n"/>
      <c r="F164" s="3" t="n"/>
      <c r="G164">
        <f>IF(A164="","",MONTH(A164))</f>
        <v/>
      </c>
    </row>
    <row r="165">
      <c r="A165" s="2" t="n"/>
      <c r="B165" s="3" t="n"/>
      <c r="C165" s="3" t="n"/>
      <c r="D165" s="3" t="n"/>
      <c r="E165" s="3" t="n"/>
      <c r="F165" s="3" t="n"/>
      <c r="G165">
        <f>IF(A165="","",MONTH(A165))</f>
        <v/>
      </c>
    </row>
    <row r="166">
      <c r="A166" s="2" t="n"/>
      <c r="B166" s="3" t="n"/>
      <c r="C166" s="3" t="n"/>
      <c r="D166" s="3" t="n"/>
      <c r="E166" s="3" t="n"/>
      <c r="F166" s="3" t="n"/>
      <c r="G166">
        <f>IF(A166="","",MONTH(A166))</f>
        <v/>
      </c>
    </row>
    <row r="167">
      <c r="A167" s="2" t="n"/>
      <c r="B167" s="3" t="n"/>
      <c r="C167" s="3" t="n"/>
      <c r="D167" s="3" t="n"/>
      <c r="E167" s="3" t="n"/>
      <c r="F167" s="3" t="n"/>
      <c r="G167">
        <f>IF(A167="","",MONTH(A167))</f>
        <v/>
      </c>
    </row>
    <row r="168">
      <c r="A168" s="2" t="n"/>
      <c r="B168" s="3" t="n"/>
      <c r="C168" s="3" t="n"/>
      <c r="D168" s="3" t="n"/>
      <c r="E168" s="3" t="n"/>
      <c r="F168" s="3" t="n"/>
      <c r="G168">
        <f>IF(A168="","",MONTH(A168))</f>
        <v/>
      </c>
    </row>
    <row r="169">
      <c r="A169" s="2" t="n"/>
      <c r="B169" s="3" t="n"/>
      <c r="C169" s="3" t="n"/>
      <c r="D169" s="3" t="n"/>
      <c r="E169" s="3" t="n"/>
      <c r="F169" s="3" t="n"/>
      <c r="G169">
        <f>IF(A169="","",MONTH(A169))</f>
        <v/>
      </c>
    </row>
    <row r="170">
      <c r="A170" s="2" t="n"/>
      <c r="B170" s="3" t="n"/>
      <c r="C170" s="3" t="n"/>
      <c r="D170" s="3" t="n"/>
      <c r="E170" s="3" t="n"/>
      <c r="F170" s="3" t="n"/>
      <c r="G170">
        <f>IF(A170="","",MONTH(A170))</f>
        <v/>
      </c>
    </row>
    <row r="171">
      <c r="A171" s="2" t="n"/>
      <c r="B171" s="3" t="n"/>
      <c r="C171" s="3" t="n"/>
      <c r="D171" s="3" t="n"/>
      <c r="E171" s="3" t="n"/>
      <c r="F171" s="3" t="n"/>
      <c r="G171">
        <f>IF(A171="","",MONTH(A171))</f>
        <v/>
      </c>
    </row>
    <row r="172">
      <c r="A172" s="2" t="n"/>
      <c r="B172" s="3" t="n"/>
      <c r="C172" s="3" t="n"/>
      <c r="D172" s="3" t="n"/>
      <c r="E172" s="3" t="n"/>
      <c r="F172" s="3" t="n"/>
      <c r="G172">
        <f>IF(A172="","",MONTH(A172))</f>
        <v/>
      </c>
    </row>
    <row r="173">
      <c r="A173" s="2" t="n"/>
      <c r="B173" s="3" t="n"/>
      <c r="C173" s="3" t="n"/>
      <c r="D173" s="3" t="n"/>
      <c r="E173" s="3" t="n"/>
      <c r="F173" s="3" t="n"/>
      <c r="G173">
        <f>IF(A173="","",MONTH(A173))</f>
        <v/>
      </c>
    </row>
    <row r="174">
      <c r="A174" s="2" t="n"/>
      <c r="B174" s="3" t="n"/>
      <c r="C174" s="3" t="n"/>
      <c r="D174" s="3" t="n"/>
      <c r="E174" s="3" t="n"/>
      <c r="F174" s="3" t="n"/>
      <c r="G174">
        <f>IF(A174="","",MONTH(A174))</f>
        <v/>
      </c>
    </row>
    <row r="175">
      <c r="A175" s="2" t="n"/>
      <c r="B175" s="3" t="n"/>
      <c r="C175" s="3" t="n"/>
      <c r="D175" s="3" t="n"/>
      <c r="E175" s="3" t="n"/>
      <c r="F175" s="3" t="n"/>
      <c r="G175">
        <f>IF(A175="","",MONTH(A175))</f>
        <v/>
      </c>
    </row>
    <row r="176">
      <c r="A176" s="2" t="n"/>
      <c r="B176" s="3" t="n"/>
      <c r="C176" s="3" t="n"/>
      <c r="D176" s="3" t="n"/>
      <c r="E176" s="3" t="n"/>
      <c r="F176" s="3" t="n"/>
      <c r="G176">
        <f>IF(A176="","",MONTH(A176))</f>
        <v/>
      </c>
    </row>
    <row r="177">
      <c r="A177" s="2" t="n"/>
      <c r="B177" s="3" t="n"/>
      <c r="C177" s="3" t="n"/>
      <c r="D177" s="3" t="n"/>
      <c r="E177" s="3" t="n"/>
      <c r="F177" s="3" t="n"/>
      <c r="G177">
        <f>IF(A177="","",MONTH(A177))</f>
        <v/>
      </c>
    </row>
    <row r="178">
      <c r="A178" s="2" t="n"/>
      <c r="B178" s="3" t="n"/>
      <c r="C178" s="3" t="n"/>
      <c r="D178" s="3" t="n"/>
      <c r="E178" s="3" t="n"/>
      <c r="F178" s="3" t="n"/>
      <c r="G178">
        <f>IF(A178="","",MONTH(A178))</f>
        <v/>
      </c>
    </row>
    <row r="179">
      <c r="A179" s="2" t="n"/>
      <c r="B179" s="3" t="n"/>
      <c r="C179" s="3" t="n"/>
      <c r="D179" s="3" t="n"/>
      <c r="E179" s="3" t="n"/>
      <c r="F179" s="3" t="n"/>
      <c r="G179">
        <f>IF(A179="","",MONTH(A179))</f>
        <v/>
      </c>
    </row>
    <row r="180">
      <c r="A180" s="2" t="n"/>
      <c r="B180" s="3" t="n"/>
      <c r="C180" s="3" t="n"/>
      <c r="D180" s="3" t="n"/>
      <c r="E180" s="3" t="n"/>
      <c r="F180" s="3" t="n"/>
      <c r="G180">
        <f>IF(A180="","",MONTH(A180))</f>
        <v/>
      </c>
    </row>
    <row r="181">
      <c r="A181" s="2" t="n"/>
      <c r="B181" s="3" t="n"/>
      <c r="C181" s="3" t="n"/>
      <c r="D181" s="3" t="n"/>
      <c r="E181" s="3" t="n"/>
      <c r="F181" s="3" t="n"/>
      <c r="G181">
        <f>IF(A181="","",MONTH(A181))</f>
        <v/>
      </c>
    </row>
    <row r="182">
      <c r="A182" s="2" t="n"/>
      <c r="B182" s="3" t="n"/>
      <c r="C182" s="3" t="n"/>
      <c r="D182" s="3" t="n"/>
      <c r="E182" s="3" t="n"/>
      <c r="F182" s="3" t="n"/>
      <c r="G182">
        <f>IF(A182="","",MONTH(A182))</f>
        <v/>
      </c>
    </row>
    <row r="183">
      <c r="A183" s="2" t="n"/>
      <c r="B183" s="3" t="n"/>
      <c r="C183" s="3" t="n"/>
      <c r="D183" s="3" t="n"/>
      <c r="E183" s="3" t="n"/>
      <c r="F183" s="3" t="n"/>
      <c r="G183">
        <f>IF(A183="","",MONTH(A183))</f>
        <v/>
      </c>
    </row>
    <row r="184">
      <c r="A184" s="2" t="n"/>
      <c r="B184" s="3" t="n"/>
      <c r="C184" s="3" t="n"/>
      <c r="D184" s="3" t="n"/>
      <c r="E184" s="3" t="n"/>
      <c r="F184" s="3" t="n"/>
      <c r="G184">
        <f>IF(A184="","",MONTH(A184))</f>
        <v/>
      </c>
    </row>
    <row r="185">
      <c r="A185" s="2" t="n"/>
      <c r="B185" s="3" t="n"/>
      <c r="C185" s="3" t="n"/>
      <c r="D185" s="3" t="n"/>
      <c r="E185" s="3" t="n"/>
      <c r="F185" s="3" t="n"/>
      <c r="G185">
        <f>IF(A185="","",MONTH(A185))</f>
        <v/>
      </c>
    </row>
    <row r="186">
      <c r="A186" s="2" t="n"/>
      <c r="B186" s="3" t="n"/>
      <c r="C186" s="3" t="n"/>
      <c r="D186" s="3" t="n"/>
      <c r="E186" s="3" t="n"/>
      <c r="F186" s="3" t="n"/>
      <c r="G186">
        <f>IF(A186="","",MONTH(A186))</f>
        <v/>
      </c>
    </row>
    <row r="187">
      <c r="A187" s="2" t="n"/>
      <c r="B187" s="3" t="n"/>
      <c r="C187" s="3" t="n"/>
      <c r="D187" s="3" t="n"/>
      <c r="E187" s="3" t="n"/>
      <c r="F187" s="3" t="n"/>
      <c r="G187">
        <f>IF(A187="","",MONTH(A187))</f>
        <v/>
      </c>
    </row>
    <row r="188">
      <c r="A188" s="2" t="n"/>
      <c r="B188" s="3" t="n"/>
      <c r="C188" s="3" t="n"/>
      <c r="D188" s="3" t="n"/>
      <c r="E188" s="3" t="n"/>
      <c r="F188" s="3" t="n"/>
      <c r="G188">
        <f>IF(A188="","",MONTH(A188))</f>
        <v/>
      </c>
    </row>
    <row r="189">
      <c r="A189" s="2" t="n"/>
      <c r="B189" s="3" t="n"/>
      <c r="C189" s="3" t="n"/>
      <c r="D189" s="3" t="n"/>
      <c r="E189" s="3" t="n"/>
      <c r="F189" s="3" t="n"/>
      <c r="G189">
        <f>IF(A189="","",MONTH(A189))</f>
        <v/>
      </c>
    </row>
    <row r="190">
      <c r="A190" s="2" t="n"/>
      <c r="B190" s="3" t="n"/>
      <c r="C190" s="3" t="n"/>
      <c r="D190" s="3" t="n"/>
      <c r="E190" s="3" t="n"/>
      <c r="F190" s="3" t="n"/>
      <c r="G190">
        <f>IF(A190="","",MONTH(A190))</f>
        <v/>
      </c>
    </row>
    <row r="191">
      <c r="A191" s="2" t="n"/>
      <c r="B191" s="3" t="n"/>
      <c r="C191" s="3" t="n"/>
      <c r="D191" s="3" t="n"/>
      <c r="E191" s="3" t="n"/>
      <c r="F191" s="3" t="n"/>
      <c r="G191">
        <f>IF(A191="","",MONTH(A191))</f>
        <v/>
      </c>
    </row>
    <row r="192">
      <c r="A192" s="2" t="n"/>
      <c r="B192" s="3" t="n"/>
      <c r="C192" s="3" t="n"/>
      <c r="D192" s="3" t="n"/>
      <c r="E192" s="3" t="n"/>
      <c r="F192" s="3" t="n"/>
      <c r="G192">
        <f>IF(A192="","",MONTH(A192))</f>
        <v/>
      </c>
    </row>
    <row r="193">
      <c r="A193" s="2" t="n"/>
      <c r="B193" s="3" t="n"/>
      <c r="C193" s="3" t="n"/>
      <c r="D193" s="3" t="n"/>
      <c r="E193" s="3" t="n"/>
      <c r="F193" s="3" t="n"/>
      <c r="G193">
        <f>IF(A193="","",MONTH(A193))</f>
        <v/>
      </c>
    </row>
    <row r="194">
      <c r="A194" s="2" t="n"/>
      <c r="B194" s="3" t="n"/>
      <c r="C194" s="3" t="n"/>
      <c r="D194" s="3" t="n"/>
      <c r="E194" s="3" t="n"/>
      <c r="F194" s="3" t="n"/>
      <c r="G194">
        <f>IF(A194="","",MONTH(A194))</f>
        <v/>
      </c>
    </row>
    <row r="195">
      <c r="A195" s="2" t="n"/>
      <c r="B195" s="3" t="n"/>
      <c r="C195" s="3" t="n"/>
      <c r="D195" s="3" t="n"/>
      <c r="E195" s="3" t="n"/>
      <c r="F195" s="3" t="n"/>
      <c r="G195">
        <f>IF(A195="","",MONTH(A195))</f>
        <v/>
      </c>
    </row>
    <row r="196">
      <c r="A196" s="2" t="n"/>
      <c r="B196" s="3" t="n"/>
      <c r="C196" s="3" t="n"/>
      <c r="D196" s="3" t="n"/>
      <c r="E196" s="3" t="n"/>
      <c r="F196" s="3" t="n"/>
      <c r="G196">
        <f>IF(A196="","",MONTH(A196))</f>
        <v/>
      </c>
    </row>
    <row r="197">
      <c r="A197" s="2" t="n"/>
      <c r="B197" s="3" t="n"/>
      <c r="C197" s="3" t="n"/>
      <c r="D197" s="3" t="n"/>
      <c r="E197" s="3" t="n"/>
      <c r="F197" s="3" t="n"/>
      <c r="G197">
        <f>IF(A197="","",MONTH(A197))</f>
        <v/>
      </c>
    </row>
    <row r="198">
      <c r="A198" s="2" t="n"/>
      <c r="B198" s="3" t="n"/>
      <c r="C198" s="3" t="n"/>
      <c r="D198" s="3" t="n"/>
      <c r="E198" s="3" t="n"/>
      <c r="F198" s="3" t="n"/>
      <c r="G198">
        <f>IF(A198="","",MONTH(A198))</f>
        <v/>
      </c>
    </row>
    <row r="199">
      <c r="A199" s="2" t="n"/>
      <c r="B199" s="3" t="n"/>
      <c r="C199" s="3" t="n"/>
      <c r="D199" s="3" t="n"/>
      <c r="E199" s="3" t="n"/>
      <c r="F199" s="3" t="n"/>
      <c r="G199">
        <f>IF(A199="","",MONTH(A199))</f>
        <v/>
      </c>
    </row>
    <row r="200">
      <c r="A200" s="2" t="n"/>
      <c r="B200" s="3" t="n"/>
      <c r="C200" s="3" t="n"/>
      <c r="D200" s="3" t="n"/>
      <c r="E200" s="3" t="n"/>
      <c r="F200" s="3" t="n"/>
      <c r="G200">
        <f>IF(A200="","",MONTH(A200))</f>
        <v/>
      </c>
    </row>
    <row r="201">
      <c r="A201" s="2" t="n"/>
      <c r="B201" s="3" t="n"/>
      <c r="C201" s="3" t="n"/>
      <c r="D201" s="3" t="n"/>
      <c r="E201" s="3" t="n"/>
      <c r="F201" s="3" t="n"/>
      <c r="G201">
        <f>IF(A201="","",MONTH(A201))</f>
        <v/>
      </c>
    </row>
    <row r="202">
      <c r="A202" s="2" t="n"/>
      <c r="B202" s="3" t="n"/>
      <c r="C202" s="3" t="n"/>
      <c r="D202" s="3" t="n"/>
      <c r="E202" s="3" t="n"/>
      <c r="F202" s="3" t="n"/>
      <c r="G202">
        <f>IF(A202="","",MONTH(A202))</f>
        <v/>
      </c>
    </row>
    <row r="203">
      <c r="A203" s="2" t="n"/>
      <c r="B203" s="3" t="n"/>
      <c r="C203" s="3" t="n"/>
      <c r="D203" s="3" t="n"/>
      <c r="E203" s="3" t="n"/>
      <c r="F203" s="3" t="n"/>
      <c r="G203">
        <f>IF(A203="","",MONTH(A203))</f>
        <v/>
      </c>
    </row>
    <row r="204">
      <c r="A204" s="2" t="n"/>
      <c r="B204" s="3" t="n"/>
      <c r="C204" s="3" t="n"/>
      <c r="D204" s="3" t="n"/>
      <c r="E204" s="3" t="n"/>
      <c r="F204" s="3" t="n"/>
      <c r="G204">
        <f>IF(A204="","",MONTH(A204))</f>
        <v/>
      </c>
    </row>
    <row r="205">
      <c r="A205" s="2" t="n"/>
      <c r="B205" s="3" t="n"/>
      <c r="C205" s="3" t="n"/>
      <c r="D205" s="3" t="n"/>
      <c r="E205" s="3" t="n"/>
      <c r="F205" s="3" t="n"/>
      <c r="G205">
        <f>IF(A205="","",MONTH(A205))</f>
        <v/>
      </c>
    </row>
    <row r="206">
      <c r="A206" s="2" t="n"/>
      <c r="B206" s="3" t="n"/>
      <c r="C206" s="3" t="n"/>
      <c r="D206" s="3" t="n"/>
      <c r="E206" s="3" t="n"/>
      <c r="F206" s="3" t="n"/>
      <c r="G206">
        <f>IF(A206="","",MONTH(A206))</f>
        <v/>
      </c>
    </row>
    <row r="207">
      <c r="A207" s="2" t="n"/>
      <c r="B207" s="3" t="n"/>
      <c r="C207" s="3" t="n"/>
      <c r="D207" s="3" t="n"/>
      <c r="E207" s="3" t="n"/>
      <c r="F207" s="3" t="n"/>
      <c r="G207">
        <f>IF(A207="","",MONTH(A207))</f>
        <v/>
      </c>
    </row>
    <row r="208">
      <c r="A208" s="2" t="n"/>
      <c r="B208" s="3" t="n"/>
      <c r="C208" s="3" t="n"/>
      <c r="D208" s="3" t="n"/>
      <c r="E208" s="3" t="n"/>
      <c r="F208" s="3" t="n"/>
      <c r="G208">
        <f>IF(A208="","",MONTH(A208))</f>
        <v/>
      </c>
    </row>
    <row r="209">
      <c r="A209" s="2" t="n"/>
      <c r="B209" s="3" t="n"/>
      <c r="C209" s="3" t="n"/>
      <c r="D209" s="3" t="n"/>
      <c r="E209" s="3" t="n"/>
      <c r="F209" s="3" t="n"/>
      <c r="G209">
        <f>IF(A209="","",MONTH(A209))</f>
        <v/>
      </c>
    </row>
    <row r="210">
      <c r="A210" s="2" t="n"/>
      <c r="B210" s="3" t="n"/>
      <c r="C210" s="3" t="n"/>
      <c r="D210" s="3" t="n"/>
      <c r="E210" s="3" t="n"/>
      <c r="F210" s="3" t="n"/>
      <c r="G210">
        <f>IF(A210="","",MONTH(A210))</f>
        <v/>
      </c>
    </row>
    <row r="211">
      <c r="A211" s="2" t="n"/>
      <c r="B211" s="3" t="n"/>
      <c r="C211" s="3" t="n"/>
      <c r="D211" s="3" t="n"/>
      <c r="E211" s="3" t="n"/>
      <c r="F211" s="3" t="n"/>
      <c r="G211">
        <f>IF(A211="","",MONTH(A211))</f>
        <v/>
      </c>
    </row>
    <row r="212">
      <c r="A212" s="2" t="n"/>
      <c r="B212" s="3" t="n"/>
      <c r="C212" s="3" t="n"/>
      <c r="D212" s="3" t="n"/>
      <c r="E212" s="3" t="n"/>
      <c r="F212" s="3" t="n"/>
      <c r="G212">
        <f>IF(A212="","",MONTH(A212))</f>
        <v/>
      </c>
    </row>
    <row r="213">
      <c r="A213" s="2" t="n"/>
      <c r="B213" s="3" t="n"/>
      <c r="C213" s="3" t="n"/>
      <c r="D213" s="3" t="n"/>
      <c r="E213" s="3" t="n"/>
      <c r="F213" s="3" t="n"/>
      <c r="G213">
        <f>IF(A213="","",MONTH(A213))</f>
        <v/>
      </c>
    </row>
    <row r="214">
      <c r="A214" s="2" t="n"/>
      <c r="B214" s="3" t="n"/>
      <c r="C214" s="3" t="n"/>
      <c r="D214" s="3" t="n"/>
      <c r="E214" s="3" t="n"/>
      <c r="F214" s="3" t="n"/>
      <c r="G214">
        <f>IF(A214="","",MONTH(A214))</f>
        <v/>
      </c>
    </row>
    <row r="215">
      <c r="A215" s="2" t="n"/>
      <c r="B215" s="3" t="n"/>
      <c r="C215" s="3" t="n"/>
      <c r="D215" s="3" t="n"/>
      <c r="E215" s="3" t="n"/>
      <c r="F215" s="3" t="n"/>
      <c r="G215">
        <f>IF(A215="","",MONTH(A215))</f>
        <v/>
      </c>
    </row>
    <row r="216">
      <c r="A216" s="2" t="n"/>
      <c r="B216" s="3" t="n"/>
      <c r="C216" s="3" t="n"/>
      <c r="D216" s="3" t="n"/>
      <c r="E216" s="3" t="n"/>
      <c r="F216" s="3" t="n"/>
      <c r="G216">
        <f>IF(A216="","",MONTH(A216))</f>
        <v/>
      </c>
    </row>
    <row r="217">
      <c r="A217" s="2" t="n"/>
      <c r="B217" s="3" t="n"/>
      <c r="C217" s="3" t="n"/>
      <c r="D217" s="3" t="n"/>
      <c r="E217" s="3" t="n"/>
      <c r="F217" s="3" t="n"/>
      <c r="G217">
        <f>IF(A217="","",MONTH(A217))</f>
        <v/>
      </c>
    </row>
    <row r="218">
      <c r="A218" s="2" t="n"/>
      <c r="B218" s="3" t="n"/>
      <c r="C218" s="3" t="n"/>
      <c r="D218" s="3" t="n"/>
      <c r="E218" s="3" t="n"/>
      <c r="F218" s="3" t="n"/>
      <c r="G218">
        <f>IF(A218="","",MONTH(A218))</f>
        <v/>
      </c>
    </row>
    <row r="219">
      <c r="A219" s="2" t="n"/>
      <c r="B219" s="3" t="n"/>
      <c r="C219" s="3" t="n"/>
      <c r="D219" s="3" t="n"/>
      <c r="E219" s="3" t="n"/>
      <c r="F219" s="3" t="n"/>
      <c r="G219">
        <f>IF(A219="","",MONTH(A219))</f>
        <v/>
      </c>
    </row>
    <row r="220">
      <c r="A220" s="2" t="n"/>
      <c r="B220" s="3" t="n"/>
      <c r="C220" s="3" t="n"/>
      <c r="D220" s="3" t="n"/>
      <c r="E220" s="3" t="n"/>
      <c r="F220" s="3" t="n"/>
      <c r="G220">
        <f>IF(A220="","",MONTH(A220))</f>
        <v/>
      </c>
    </row>
    <row r="221">
      <c r="A221" s="2" t="n"/>
      <c r="B221" s="3" t="n"/>
      <c r="C221" s="3" t="n"/>
      <c r="D221" s="3" t="n"/>
      <c r="E221" s="3" t="n"/>
      <c r="F221" s="3" t="n"/>
      <c r="G221">
        <f>IF(A221="","",MONTH(A221))</f>
        <v/>
      </c>
    </row>
    <row r="222">
      <c r="A222" s="2" t="n"/>
      <c r="B222" s="3" t="n"/>
      <c r="C222" s="3" t="n"/>
      <c r="D222" s="3" t="n"/>
      <c r="E222" s="3" t="n"/>
      <c r="F222" s="3" t="n"/>
      <c r="G222">
        <f>IF(A222="","",MONTH(A222))</f>
        <v/>
      </c>
    </row>
    <row r="223">
      <c r="A223" s="2" t="n"/>
      <c r="B223" s="3" t="n"/>
      <c r="C223" s="3" t="n"/>
      <c r="D223" s="3" t="n"/>
      <c r="E223" s="3" t="n"/>
      <c r="F223" s="3" t="n"/>
      <c r="G223">
        <f>IF(A223="","",MONTH(A223))</f>
        <v/>
      </c>
    </row>
    <row r="224">
      <c r="A224" s="2" t="n"/>
      <c r="B224" s="3" t="n"/>
      <c r="C224" s="3" t="n"/>
      <c r="D224" s="3" t="n"/>
      <c r="E224" s="3" t="n"/>
      <c r="F224" s="3" t="n"/>
      <c r="G224">
        <f>IF(A224="","",MONTH(A224))</f>
        <v/>
      </c>
    </row>
    <row r="225">
      <c r="A225" s="2" t="n"/>
      <c r="B225" s="3" t="n"/>
      <c r="C225" s="3" t="n"/>
      <c r="D225" s="3" t="n"/>
      <c r="E225" s="3" t="n"/>
      <c r="F225" s="3" t="n"/>
      <c r="G225">
        <f>IF(A225="","",MONTH(A225))</f>
        <v/>
      </c>
    </row>
    <row r="226">
      <c r="A226" s="2" t="n"/>
      <c r="B226" s="3" t="n"/>
      <c r="C226" s="3" t="n"/>
      <c r="D226" s="3" t="n"/>
      <c r="E226" s="3" t="n"/>
      <c r="F226" s="3" t="n"/>
      <c r="G226">
        <f>IF(A226="","",MONTH(A226))</f>
        <v/>
      </c>
    </row>
    <row r="227">
      <c r="A227" s="2" t="n"/>
      <c r="B227" s="3" t="n"/>
      <c r="C227" s="3" t="n"/>
      <c r="D227" s="3" t="n"/>
      <c r="E227" s="3" t="n"/>
      <c r="F227" s="3" t="n"/>
      <c r="G227">
        <f>IF(A227="","",MONTH(A227))</f>
        <v/>
      </c>
    </row>
    <row r="228">
      <c r="A228" s="2" t="n"/>
      <c r="B228" s="3" t="n"/>
      <c r="C228" s="3" t="n"/>
      <c r="D228" s="3" t="n"/>
      <c r="E228" s="3" t="n"/>
      <c r="F228" s="3" t="n"/>
      <c r="G228">
        <f>IF(A228="","",MONTH(A228))</f>
        <v/>
      </c>
    </row>
    <row r="229">
      <c r="A229" s="2" t="n"/>
      <c r="B229" s="3" t="n"/>
      <c r="C229" s="3" t="n"/>
      <c r="D229" s="3" t="n"/>
      <c r="E229" s="3" t="n"/>
      <c r="F229" s="3" t="n"/>
      <c r="G229">
        <f>IF(A229="","",MONTH(A229))</f>
        <v/>
      </c>
    </row>
    <row r="230">
      <c r="A230" s="2" t="n"/>
      <c r="B230" s="3" t="n"/>
      <c r="C230" s="3" t="n"/>
      <c r="D230" s="3" t="n"/>
      <c r="E230" s="3" t="n"/>
      <c r="F230" s="3" t="n"/>
      <c r="G230">
        <f>IF(A230="","",MONTH(A230))</f>
        <v/>
      </c>
    </row>
    <row r="231">
      <c r="A231" s="2" t="n"/>
      <c r="B231" s="3" t="n"/>
      <c r="C231" s="3" t="n"/>
      <c r="D231" s="3" t="n"/>
      <c r="E231" s="3" t="n"/>
      <c r="F231" s="3" t="n"/>
      <c r="G231">
        <f>IF(A231="","",MONTH(A231))</f>
        <v/>
      </c>
    </row>
    <row r="232">
      <c r="A232" s="2" t="n"/>
      <c r="B232" s="3" t="n"/>
      <c r="C232" s="3" t="n"/>
      <c r="D232" s="3" t="n"/>
      <c r="E232" s="3" t="n"/>
      <c r="F232" s="3" t="n"/>
      <c r="G232">
        <f>IF(A232="","",MONTH(A232))</f>
        <v/>
      </c>
    </row>
    <row r="233">
      <c r="A233" s="2" t="n"/>
      <c r="B233" s="3" t="n"/>
      <c r="C233" s="3" t="n"/>
      <c r="D233" s="3" t="n"/>
      <c r="E233" s="3" t="n"/>
      <c r="F233" s="3" t="n"/>
      <c r="G233">
        <f>IF(A233="","",MONTH(A233))</f>
        <v/>
      </c>
    </row>
    <row r="234">
      <c r="A234" s="2" t="n"/>
      <c r="B234" s="3" t="n"/>
      <c r="C234" s="3" t="n"/>
      <c r="D234" s="3" t="n"/>
      <c r="E234" s="3" t="n"/>
      <c r="F234" s="3" t="n"/>
      <c r="G234">
        <f>IF(A234="","",MONTH(A234))</f>
        <v/>
      </c>
    </row>
    <row r="235">
      <c r="A235" s="2" t="n"/>
      <c r="B235" s="3" t="n"/>
      <c r="C235" s="3" t="n"/>
      <c r="D235" s="3" t="n"/>
      <c r="E235" s="3" t="n"/>
      <c r="F235" s="3" t="n"/>
      <c r="G235">
        <f>IF(A235="","",MONTH(A235))</f>
        <v/>
      </c>
    </row>
    <row r="236">
      <c r="A236" s="2" t="n"/>
      <c r="B236" s="3" t="n"/>
      <c r="C236" s="3" t="n"/>
      <c r="D236" s="3" t="n"/>
      <c r="E236" s="3" t="n"/>
      <c r="F236" s="3" t="n"/>
      <c r="G236">
        <f>IF(A236="","",MONTH(A236))</f>
        <v/>
      </c>
    </row>
    <row r="237">
      <c r="A237" s="2" t="n"/>
      <c r="B237" s="3" t="n"/>
      <c r="C237" s="3" t="n"/>
      <c r="D237" s="3" t="n"/>
      <c r="E237" s="3" t="n"/>
      <c r="F237" s="3" t="n"/>
      <c r="G237">
        <f>IF(A237="","",MONTH(A237))</f>
        <v/>
      </c>
    </row>
    <row r="238">
      <c r="A238" s="2" t="n"/>
      <c r="B238" s="3" t="n"/>
      <c r="C238" s="3" t="n"/>
      <c r="D238" s="3" t="n"/>
      <c r="E238" s="3" t="n"/>
      <c r="F238" s="3" t="n"/>
      <c r="G238">
        <f>IF(A238="","",MONTH(A238))</f>
        <v/>
      </c>
    </row>
    <row r="239">
      <c r="A239" s="2" t="n"/>
      <c r="B239" s="3" t="n"/>
      <c r="C239" s="3" t="n"/>
      <c r="D239" s="3" t="n"/>
      <c r="E239" s="3" t="n"/>
      <c r="F239" s="3" t="n"/>
      <c r="G239">
        <f>IF(A239="","",MONTH(A239))</f>
        <v/>
      </c>
    </row>
    <row r="240">
      <c r="A240" s="2" t="n"/>
      <c r="B240" s="3" t="n"/>
      <c r="C240" s="3" t="n"/>
      <c r="D240" s="3" t="n"/>
      <c r="E240" s="3" t="n"/>
      <c r="F240" s="3" t="n"/>
      <c r="G240">
        <f>IF(A240="","",MONTH(A240))</f>
        <v/>
      </c>
    </row>
    <row r="241">
      <c r="A241" s="2" t="n"/>
      <c r="B241" s="3" t="n"/>
      <c r="C241" s="3" t="n"/>
      <c r="D241" s="3" t="n"/>
      <c r="E241" s="3" t="n"/>
      <c r="F241" s="3" t="n"/>
      <c r="G241">
        <f>IF(A241="","",MONTH(A241))</f>
        <v/>
      </c>
    </row>
    <row r="242">
      <c r="A242" s="2" t="n"/>
      <c r="B242" s="3" t="n"/>
      <c r="C242" s="3" t="n"/>
      <c r="D242" s="3" t="n"/>
      <c r="E242" s="3" t="n"/>
      <c r="F242" s="3" t="n"/>
      <c r="G242">
        <f>IF(A242="","",MONTH(A242))</f>
        <v/>
      </c>
    </row>
    <row r="243">
      <c r="A243" s="2" t="n"/>
      <c r="B243" s="3" t="n"/>
      <c r="C243" s="3" t="n"/>
      <c r="D243" s="3" t="n"/>
      <c r="E243" s="3" t="n"/>
      <c r="F243" s="3" t="n"/>
      <c r="G243">
        <f>IF(A243="","",MONTH(A243))</f>
        <v/>
      </c>
    </row>
    <row r="244">
      <c r="A244" s="2" t="n"/>
      <c r="B244" s="3" t="n"/>
      <c r="C244" s="3" t="n"/>
      <c r="D244" s="3" t="n"/>
      <c r="E244" s="3" t="n"/>
      <c r="F244" s="3" t="n"/>
      <c r="G244">
        <f>IF(A244="","",MONTH(A244))</f>
        <v/>
      </c>
    </row>
    <row r="245">
      <c r="A245" s="2" t="n"/>
      <c r="B245" s="3" t="n"/>
      <c r="C245" s="3" t="n"/>
      <c r="D245" s="3" t="n"/>
      <c r="E245" s="3" t="n"/>
      <c r="F245" s="3" t="n"/>
      <c r="G245">
        <f>IF(A245="","",MONTH(A245))</f>
        <v/>
      </c>
    </row>
    <row r="246">
      <c r="A246" s="2" t="n"/>
      <c r="B246" s="3" t="n"/>
      <c r="C246" s="3" t="n"/>
      <c r="D246" s="3" t="n"/>
      <c r="E246" s="3" t="n"/>
      <c r="F246" s="3" t="n"/>
      <c r="G246">
        <f>IF(A246="","",MONTH(A246))</f>
        <v/>
      </c>
    </row>
    <row r="247">
      <c r="A247" s="2" t="n"/>
      <c r="B247" s="3" t="n"/>
      <c r="C247" s="3" t="n"/>
      <c r="D247" s="3" t="n"/>
      <c r="E247" s="3" t="n"/>
      <c r="F247" s="3" t="n"/>
      <c r="G247">
        <f>IF(A247="","",MONTH(A247))</f>
        <v/>
      </c>
    </row>
    <row r="248">
      <c r="A248" s="2" t="n"/>
      <c r="B248" s="3" t="n"/>
      <c r="C248" s="3" t="n"/>
      <c r="D248" s="3" t="n"/>
      <c r="E248" s="3" t="n"/>
      <c r="F248" s="3" t="n"/>
      <c r="G248">
        <f>IF(A248="","",MONTH(A248))</f>
        <v/>
      </c>
    </row>
    <row r="249">
      <c r="A249" s="2" t="n"/>
      <c r="B249" s="3" t="n"/>
      <c r="C249" s="3" t="n"/>
      <c r="D249" s="3" t="n"/>
      <c r="E249" s="3" t="n"/>
      <c r="F249" s="3" t="n"/>
      <c r="G249">
        <f>IF(A249="","",MONTH(A249))</f>
        <v/>
      </c>
    </row>
    <row r="250">
      <c r="A250" s="2" t="n"/>
      <c r="B250" s="3" t="n"/>
      <c r="C250" s="3" t="n"/>
      <c r="D250" s="3" t="n"/>
      <c r="E250" s="3" t="n"/>
      <c r="F250" s="3" t="n"/>
      <c r="G250">
        <f>IF(A250="","",MONTH(A250))</f>
        <v/>
      </c>
    </row>
    <row r="251">
      <c r="A251" s="2" t="n"/>
      <c r="B251" s="3" t="n"/>
      <c r="C251" s="3" t="n"/>
      <c r="D251" s="3" t="n"/>
      <c r="E251" s="3" t="n"/>
      <c r="F251" s="3" t="n"/>
      <c r="G251">
        <f>IF(A251="","",MONTH(A251))</f>
        <v/>
      </c>
    </row>
    <row r="252">
      <c r="A252" s="2" t="n"/>
      <c r="B252" s="3" t="n"/>
      <c r="C252" s="3" t="n"/>
      <c r="D252" s="3" t="n"/>
      <c r="E252" s="3" t="n"/>
      <c r="F252" s="3" t="n"/>
      <c r="G252">
        <f>IF(A252="","",MONTH(A252))</f>
        <v/>
      </c>
    </row>
    <row r="253">
      <c r="A253" s="2" t="n"/>
      <c r="B253" s="3" t="n"/>
      <c r="C253" s="3" t="n"/>
      <c r="D253" s="3" t="n"/>
      <c r="E253" s="3" t="n"/>
      <c r="F253" s="3" t="n"/>
      <c r="G253">
        <f>IF(A253="","",MONTH(A253))</f>
        <v/>
      </c>
    </row>
    <row r="254">
      <c r="A254" s="2" t="n"/>
      <c r="B254" s="3" t="n"/>
      <c r="C254" s="3" t="n"/>
      <c r="D254" s="3" t="n"/>
      <c r="E254" s="3" t="n"/>
      <c r="F254" s="3" t="n"/>
      <c r="G254">
        <f>IF(A254="","",MONTH(A254))</f>
        <v/>
      </c>
    </row>
    <row r="255">
      <c r="A255" s="2" t="n"/>
      <c r="B255" s="3" t="n"/>
      <c r="C255" s="3" t="n"/>
      <c r="D255" s="3" t="n"/>
      <c r="E255" s="3" t="n"/>
      <c r="F255" s="3" t="n"/>
      <c r="G255">
        <f>IF(A255="","",MONTH(A255))</f>
        <v/>
      </c>
    </row>
    <row r="256">
      <c r="A256" s="2" t="n"/>
      <c r="B256" s="3" t="n"/>
      <c r="C256" s="3" t="n"/>
      <c r="D256" s="3" t="n"/>
      <c r="E256" s="3" t="n"/>
      <c r="F256" s="3" t="n"/>
      <c r="G256">
        <f>IF(A256="","",MONTH(A256))</f>
        <v/>
      </c>
    </row>
    <row r="257">
      <c r="A257" s="2" t="n"/>
      <c r="B257" s="3" t="n"/>
      <c r="C257" s="3" t="n"/>
      <c r="D257" s="3" t="n"/>
      <c r="E257" s="3" t="n"/>
      <c r="F257" s="3" t="n"/>
      <c r="G257">
        <f>IF(A257="","",MONTH(A257))</f>
        <v/>
      </c>
    </row>
    <row r="258">
      <c r="A258" s="2" t="n"/>
      <c r="B258" s="3" t="n"/>
      <c r="C258" s="3" t="n"/>
      <c r="D258" s="3" t="n"/>
      <c r="E258" s="3" t="n"/>
      <c r="F258" s="3" t="n"/>
      <c r="G258">
        <f>IF(A258="","",MONTH(A258))</f>
        <v/>
      </c>
    </row>
    <row r="259">
      <c r="A259" s="2" t="n"/>
      <c r="B259" s="3" t="n"/>
      <c r="C259" s="3" t="n"/>
      <c r="D259" s="3" t="n"/>
      <c r="E259" s="3" t="n"/>
      <c r="F259" s="3" t="n"/>
      <c r="G259">
        <f>IF(A259="","",MONTH(A259))</f>
        <v/>
      </c>
    </row>
    <row r="260">
      <c r="A260" s="2" t="n"/>
      <c r="B260" s="3" t="n"/>
      <c r="C260" s="3" t="n"/>
      <c r="D260" s="3" t="n"/>
      <c r="E260" s="3" t="n"/>
      <c r="F260" s="3" t="n"/>
      <c r="G260">
        <f>IF(A260="","",MONTH(A260))</f>
        <v/>
      </c>
    </row>
    <row r="261">
      <c r="A261" s="2" t="n"/>
      <c r="B261" s="3" t="n"/>
      <c r="C261" s="3" t="n"/>
      <c r="D261" s="3" t="n"/>
      <c r="E261" s="3" t="n"/>
      <c r="F261" s="3" t="n"/>
      <c r="G261">
        <f>IF(A261="","",MONTH(A261))</f>
        <v/>
      </c>
    </row>
    <row r="262">
      <c r="A262" s="2" t="n"/>
      <c r="B262" s="3" t="n"/>
      <c r="C262" s="3" t="n"/>
      <c r="D262" s="3" t="n"/>
      <c r="E262" s="3" t="n"/>
      <c r="F262" s="3" t="n"/>
      <c r="G262">
        <f>IF(A262="","",MONTH(A262))</f>
        <v/>
      </c>
    </row>
    <row r="263">
      <c r="A263" s="2" t="n"/>
      <c r="B263" s="3" t="n"/>
      <c r="C263" s="3" t="n"/>
      <c r="D263" s="3" t="n"/>
      <c r="E263" s="3" t="n"/>
      <c r="F263" s="3" t="n"/>
      <c r="G263">
        <f>IF(A263="","",MONTH(A263))</f>
        <v/>
      </c>
    </row>
    <row r="264">
      <c r="A264" s="2" t="n"/>
      <c r="B264" s="3" t="n"/>
      <c r="C264" s="3" t="n"/>
      <c r="D264" s="3" t="n"/>
      <c r="E264" s="3" t="n"/>
      <c r="F264" s="3" t="n"/>
      <c r="G264">
        <f>IF(A264="","",MONTH(A264))</f>
        <v/>
      </c>
    </row>
    <row r="265">
      <c r="A265" s="2" t="n"/>
      <c r="B265" s="3" t="n"/>
      <c r="C265" s="3" t="n"/>
      <c r="D265" s="3" t="n"/>
      <c r="E265" s="3" t="n"/>
      <c r="F265" s="3" t="n"/>
      <c r="G265">
        <f>IF(A265="","",MONTH(A265))</f>
        <v/>
      </c>
    </row>
    <row r="266">
      <c r="A266" s="2" t="n"/>
      <c r="B266" s="3" t="n"/>
      <c r="C266" s="3" t="n"/>
      <c r="D266" s="3" t="n"/>
      <c r="E266" s="3" t="n"/>
      <c r="F266" s="3" t="n"/>
      <c r="G266">
        <f>IF(A266="","",MONTH(A266))</f>
        <v/>
      </c>
    </row>
    <row r="267">
      <c r="A267" s="2" t="n"/>
      <c r="B267" s="3" t="n"/>
      <c r="C267" s="3" t="n"/>
      <c r="D267" s="3" t="n"/>
      <c r="E267" s="3" t="n"/>
      <c r="F267" s="3" t="n"/>
      <c r="G267">
        <f>IF(A267="","",MONTH(A267))</f>
        <v/>
      </c>
    </row>
    <row r="268">
      <c r="A268" s="2" t="n"/>
      <c r="B268" s="3" t="n"/>
      <c r="C268" s="3" t="n"/>
      <c r="D268" s="3" t="n"/>
      <c r="E268" s="3" t="n"/>
      <c r="F268" s="3" t="n"/>
      <c r="G268">
        <f>IF(A268="","",MONTH(A268))</f>
        <v/>
      </c>
    </row>
    <row r="269">
      <c r="A269" s="2" t="n"/>
      <c r="B269" s="3" t="n"/>
      <c r="C269" s="3" t="n"/>
      <c r="D269" s="3" t="n"/>
      <c r="E269" s="3" t="n"/>
      <c r="F269" s="3" t="n"/>
      <c r="G269">
        <f>IF(A269="","",MONTH(A269))</f>
        <v/>
      </c>
    </row>
    <row r="270">
      <c r="A270" s="2" t="n"/>
      <c r="B270" s="3" t="n"/>
      <c r="C270" s="3" t="n"/>
      <c r="D270" s="3" t="n"/>
      <c r="E270" s="3" t="n"/>
      <c r="F270" s="3" t="n"/>
      <c r="G270">
        <f>IF(A270="","",MONTH(A270))</f>
        <v/>
      </c>
    </row>
    <row r="271">
      <c r="A271" s="2" t="n"/>
      <c r="B271" s="3" t="n"/>
      <c r="C271" s="3" t="n"/>
      <c r="D271" s="3" t="n"/>
      <c r="E271" s="3" t="n"/>
      <c r="F271" s="3" t="n"/>
      <c r="G271">
        <f>IF(A271="","",MONTH(A271))</f>
        <v/>
      </c>
    </row>
    <row r="272">
      <c r="A272" s="2" t="n"/>
      <c r="B272" s="3" t="n"/>
      <c r="C272" s="3" t="n"/>
      <c r="D272" s="3" t="n"/>
      <c r="E272" s="3" t="n"/>
      <c r="F272" s="3" t="n"/>
      <c r="G272">
        <f>IF(A272="","",MONTH(A272))</f>
        <v/>
      </c>
    </row>
    <row r="273">
      <c r="A273" s="2" t="n"/>
      <c r="B273" s="3" t="n"/>
      <c r="C273" s="3" t="n"/>
      <c r="D273" s="3" t="n"/>
      <c r="E273" s="3" t="n"/>
      <c r="F273" s="3" t="n"/>
      <c r="G273">
        <f>IF(A273="","",MONTH(A273))</f>
        <v/>
      </c>
    </row>
    <row r="274">
      <c r="A274" s="2" t="n"/>
      <c r="B274" s="3" t="n"/>
      <c r="C274" s="3" t="n"/>
      <c r="D274" s="3" t="n"/>
      <c r="E274" s="3" t="n"/>
      <c r="F274" s="3" t="n"/>
      <c r="G274">
        <f>IF(A274="","",MONTH(A274))</f>
        <v/>
      </c>
    </row>
    <row r="275">
      <c r="A275" s="2" t="n"/>
      <c r="B275" s="3" t="n"/>
      <c r="C275" s="3" t="n"/>
      <c r="D275" s="3" t="n"/>
      <c r="E275" s="3" t="n"/>
      <c r="F275" s="3" t="n"/>
      <c r="G275">
        <f>IF(A275="","",MONTH(A275))</f>
        <v/>
      </c>
    </row>
    <row r="276">
      <c r="A276" s="2" t="n"/>
      <c r="B276" s="3" t="n"/>
      <c r="C276" s="3" t="n"/>
      <c r="D276" s="3" t="n"/>
      <c r="E276" s="3" t="n"/>
      <c r="F276" s="3" t="n"/>
      <c r="G276">
        <f>IF(A276="","",MONTH(A276))</f>
        <v/>
      </c>
    </row>
    <row r="277">
      <c r="A277" s="2" t="n"/>
      <c r="B277" s="3" t="n"/>
      <c r="C277" s="3" t="n"/>
      <c r="D277" s="3" t="n"/>
      <c r="E277" s="3" t="n"/>
      <c r="F277" s="3" t="n"/>
      <c r="G277">
        <f>IF(A277="","",MONTH(A277))</f>
        <v/>
      </c>
    </row>
    <row r="278">
      <c r="A278" s="2" t="n"/>
      <c r="B278" s="3" t="n"/>
      <c r="C278" s="3" t="n"/>
      <c r="D278" s="3" t="n"/>
      <c r="E278" s="3" t="n"/>
      <c r="F278" s="3" t="n"/>
      <c r="G278">
        <f>IF(A278="","",MONTH(A278))</f>
        <v/>
      </c>
    </row>
    <row r="279">
      <c r="A279" s="2" t="n"/>
      <c r="B279" s="3" t="n"/>
      <c r="C279" s="3" t="n"/>
      <c r="D279" s="3" t="n"/>
      <c r="E279" s="3" t="n"/>
      <c r="F279" s="3" t="n"/>
      <c r="G279">
        <f>IF(A279="","",MONTH(A279))</f>
        <v/>
      </c>
    </row>
    <row r="280">
      <c r="A280" s="2" t="n"/>
      <c r="B280" s="3" t="n"/>
      <c r="C280" s="3" t="n"/>
      <c r="D280" s="3" t="n"/>
      <c r="E280" s="3" t="n"/>
      <c r="F280" s="3" t="n"/>
      <c r="G280">
        <f>IF(A280="","",MONTH(A280))</f>
        <v/>
      </c>
    </row>
    <row r="281">
      <c r="A281" s="2" t="n"/>
      <c r="B281" s="3" t="n"/>
      <c r="C281" s="3" t="n"/>
      <c r="D281" s="3" t="n"/>
      <c r="E281" s="3" t="n"/>
      <c r="F281" s="3" t="n"/>
      <c r="G281">
        <f>IF(A281="","",MONTH(A281))</f>
        <v/>
      </c>
    </row>
    <row r="282">
      <c r="A282" s="2" t="n"/>
      <c r="B282" s="3" t="n"/>
      <c r="C282" s="3" t="n"/>
      <c r="D282" s="3" t="n"/>
      <c r="E282" s="3" t="n"/>
      <c r="F282" s="3" t="n"/>
      <c r="G282">
        <f>IF(A282="","",MONTH(A282))</f>
        <v/>
      </c>
    </row>
    <row r="283">
      <c r="A283" s="2" t="n"/>
      <c r="B283" s="3" t="n"/>
      <c r="C283" s="3" t="n"/>
      <c r="D283" s="3" t="n"/>
      <c r="E283" s="3" t="n"/>
      <c r="F283" s="3" t="n"/>
      <c r="G283">
        <f>IF(A283="","",MONTH(A283))</f>
        <v/>
      </c>
    </row>
    <row r="284">
      <c r="A284" s="2" t="n"/>
      <c r="B284" s="3" t="n"/>
      <c r="C284" s="3" t="n"/>
      <c r="D284" s="3" t="n"/>
      <c r="E284" s="3" t="n"/>
      <c r="F284" s="3" t="n"/>
      <c r="G284">
        <f>IF(A284="","",MONTH(A284))</f>
        <v/>
      </c>
    </row>
    <row r="285">
      <c r="A285" s="2" t="n"/>
      <c r="B285" s="3" t="n"/>
      <c r="C285" s="3" t="n"/>
      <c r="D285" s="3" t="n"/>
      <c r="E285" s="3" t="n"/>
      <c r="F285" s="3" t="n"/>
      <c r="G285">
        <f>IF(A285="","",MONTH(A285))</f>
        <v/>
      </c>
    </row>
    <row r="286">
      <c r="A286" s="2" t="n"/>
      <c r="B286" s="3" t="n"/>
      <c r="C286" s="3" t="n"/>
      <c r="D286" s="3" t="n"/>
      <c r="E286" s="3" t="n"/>
      <c r="F286" s="3" t="n"/>
      <c r="G286">
        <f>IF(A286="","",MONTH(A286))</f>
        <v/>
      </c>
    </row>
    <row r="287">
      <c r="A287" s="2" t="n"/>
      <c r="B287" s="3" t="n"/>
      <c r="C287" s="3" t="n"/>
      <c r="D287" s="3" t="n"/>
      <c r="E287" s="3" t="n"/>
      <c r="F287" s="3" t="n"/>
      <c r="G287">
        <f>IF(A287="","",MONTH(A287))</f>
        <v/>
      </c>
    </row>
    <row r="288">
      <c r="A288" s="2" t="n"/>
      <c r="B288" s="3" t="n"/>
      <c r="C288" s="3" t="n"/>
      <c r="D288" s="3" t="n"/>
      <c r="E288" s="3" t="n"/>
      <c r="F288" s="3" t="n"/>
      <c r="G288">
        <f>IF(A288="","",MONTH(A288))</f>
        <v/>
      </c>
    </row>
    <row r="289">
      <c r="A289" s="2" t="n"/>
      <c r="B289" s="3" t="n"/>
      <c r="C289" s="3" t="n"/>
      <c r="D289" s="3" t="n"/>
      <c r="E289" s="3" t="n"/>
      <c r="F289" s="3" t="n"/>
      <c r="G289">
        <f>IF(A289="","",MONTH(A289))</f>
        <v/>
      </c>
    </row>
    <row r="290">
      <c r="A290" s="2" t="n"/>
      <c r="B290" s="3" t="n"/>
      <c r="C290" s="3" t="n"/>
      <c r="D290" s="3" t="n"/>
      <c r="E290" s="3" t="n"/>
      <c r="F290" s="3" t="n"/>
      <c r="G290">
        <f>IF(A290="","",MONTH(A290))</f>
        <v/>
      </c>
    </row>
    <row r="291">
      <c r="A291" s="2" t="n"/>
      <c r="B291" s="3" t="n"/>
      <c r="C291" s="3" t="n"/>
      <c r="D291" s="3" t="n"/>
      <c r="E291" s="3" t="n"/>
      <c r="F291" s="3" t="n"/>
      <c r="G291">
        <f>IF(A291="","",MONTH(A291))</f>
        <v/>
      </c>
    </row>
    <row r="292">
      <c r="A292" s="2" t="n"/>
      <c r="B292" s="3" t="n"/>
      <c r="C292" s="3" t="n"/>
      <c r="D292" s="3" t="n"/>
      <c r="E292" s="3" t="n"/>
      <c r="F292" s="3" t="n"/>
      <c r="G292">
        <f>IF(A292="","",MONTH(A292))</f>
        <v/>
      </c>
    </row>
    <row r="293">
      <c r="A293" s="2" t="n"/>
      <c r="B293" s="3" t="n"/>
      <c r="C293" s="3" t="n"/>
      <c r="D293" s="3" t="n"/>
      <c r="E293" s="3" t="n"/>
      <c r="F293" s="3" t="n"/>
      <c r="G293">
        <f>IF(A293="","",MONTH(A293))</f>
        <v/>
      </c>
    </row>
    <row r="294">
      <c r="A294" s="2" t="n"/>
      <c r="B294" s="3" t="n"/>
      <c r="C294" s="3" t="n"/>
      <c r="D294" s="3" t="n"/>
      <c r="E294" s="3" t="n"/>
      <c r="F294" s="3" t="n"/>
      <c r="G294">
        <f>IF(A294="","",MONTH(A294))</f>
        <v/>
      </c>
    </row>
    <row r="295">
      <c r="A295" s="2" t="n"/>
      <c r="B295" s="3" t="n"/>
      <c r="C295" s="3" t="n"/>
      <c r="D295" s="3" t="n"/>
      <c r="E295" s="3" t="n"/>
      <c r="F295" s="3" t="n"/>
      <c r="G295">
        <f>IF(A295="","",MONTH(A295))</f>
        <v/>
      </c>
    </row>
    <row r="296">
      <c r="A296" s="2" t="n"/>
      <c r="B296" s="3" t="n"/>
      <c r="C296" s="3" t="n"/>
      <c r="D296" s="3" t="n"/>
      <c r="E296" s="3" t="n"/>
      <c r="F296" s="3" t="n"/>
      <c r="G296">
        <f>IF(A296="","",MONTH(A296))</f>
        <v/>
      </c>
    </row>
    <row r="297">
      <c r="A297" s="2" t="n"/>
      <c r="B297" s="3" t="n"/>
      <c r="C297" s="3" t="n"/>
      <c r="D297" s="3" t="n"/>
      <c r="E297" s="3" t="n"/>
      <c r="F297" s="3" t="n"/>
      <c r="G297">
        <f>IF(A297="","",MONTH(A297))</f>
        <v/>
      </c>
    </row>
    <row r="298">
      <c r="A298" s="2" t="n"/>
      <c r="B298" s="3" t="n"/>
      <c r="C298" s="3" t="n"/>
      <c r="D298" s="3" t="n"/>
      <c r="E298" s="3" t="n"/>
      <c r="F298" s="3" t="n"/>
      <c r="G298">
        <f>IF(A298="","",MONTH(A298))</f>
        <v/>
      </c>
    </row>
    <row r="299">
      <c r="A299" s="2" t="n"/>
      <c r="B299" s="3" t="n"/>
      <c r="C299" s="3" t="n"/>
      <c r="D299" s="3" t="n"/>
      <c r="E299" s="3" t="n"/>
      <c r="F299" s="3" t="n"/>
      <c r="G299">
        <f>IF(A299="","",MONTH(A299))</f>
        <v/>
      </c>
    </row>
    <row r="300">
      <c r="A300" s="2" t="n"/>
      <c r="B300" s="3" t="n"/>
      <c r="C300" s="3" t="n"/>
      <c r="D300" s="3" t="n"/>
      <c r="E300" s="3" t="n"/>
      <c r="F300" s="3" t="n"/>
      <c r="G300">
        <f>IF(A300="","",MONTH(A300))</f>
        <v/>
      </c>
    </row>
    <row r="301">
      <c r="A301" s="2" t="n"/>
      <c r="B301" s="3" t="n"/>
      <c r="C301" s="3" t="n"/>
      <c r="D301" s="3" t="n"/>
      <c r="E301" s="3" t="n"/>
      <c r="F301" s="3" t="n"/>
      <c r="G301">
        <f>IF(A301="","",MONTH(A301))</f>
        <v/>
      </c>
    </row>
    <row r="302">
      <c r="A302" s="2" t="n"/>
      <c r="B302" s="3" t="n"/>
      <c r="C302" s="3" t="n"/>
      <c r="D302" s="3" t="n"/>
      <c r="E302" s="3" t="n"/>
      <c r="F302" s="3" t="n"/>
      <c r="G302">
        <f>IF(A302="","",MONTH(A302))</f>
        <v/>
      </c>
    </row>
    <row r="303">
      <c r="A303" s="2" t="n"/>
      <c r="B303" s="3" t="n"/>
      <c r="C303" s="3" t="n"/>
      <c r="D303" s="3" t="n"/>
      <c r="E303" s="3" t="n"/>
      <c r="F303" s="3" t="n"/>
      <c r="G303">
        <f>IF(A303="","",MONTH(A303))</f>
        <v/>
      </c>
    </row>
    <row r="304">
      <c r="A304" s="2" t="n"/>
      <c r="B304" s="3" t="n"/>
      <c r="C304" s="3" t="n"/>
      <c r="D304" s="3" t="n"/>
      <c r="E304" s="3" t="n"/>
      <c r="F304" s="3" t="n"/>
      <c r="G304">
        <f>IF(A304="","",MONTH(A304))</f>
        <v/>
      </c>
    </row>
    <row r="305">
      <c r="A305" s="2" t="n"/>
      <c r="B305" s="3" t="n"/>
      <c r="C305" s="3" t="n"/>
      <c r="D305" s="3" t="n"/>
      <c r="E305" s="3" t="n"/>
      <c r="F305" s="3" t="n"/>
      <c r="G305">
        <f>IF(A305="","",MONTH(A305))</f>
        <v/>
      </c>
    </row>
    <row r="306">
      <c r="A306" s="2" t="n"/>
      <c r="B306" s="3" t="n"/>
      <c r="C306" s="3" t="n"/>
      <c r="D306" s="3" t="n"/>
      <c r="E306" s="3" t="n"/>
      <c r="F306" s="3" t="n"/>
      <c r="G306">
        <f>IF(A306="","",MONTH(A306))</f>
        <v/>
      </c>
    </row>
    <row r="307">
      <c r="A307" s="2" t="n"/>
      <c r="B307" s="3" t="n"/>
      <c r="C307" s="3" t="n"/>
      <c r="D307" s="3" t="n"/>
      <c r="E307" s="3" t="n"/>
      <c r="F307" s="3" t="n"/>
      <c r="G307">
        <f>IF(A307="","",MONTH(A307))</f>
        <v/>
      </c>
    </row>
    <row r="308">
      <c r="A308" s="2" t="n"/>
      <c r="B308" s="3" t="n"/>
      <c r="C308" s="3" t="n"/>
      <c r="D308" s="3" t="n"/>
      <c r="E308" s="3" t="n"/>
      <c r="F308" s="3" t="n"/>
      <c r="G308">
        <f>IF(A308="","",MONTH(A308))</f>
        <v/>
      </c>
    </row>
    <row r="309">
      <c r="A309" s="2" t="n"/>
      <c r="B309" s="3" t="n"/>
      <c r="C309" s="3" t="n"/>
      <c r="D309" s="3" t="n"/>
      <c r="E309" s="3" t="n"/>
      <c r="F309" s="3" t="n"/>
      <c r="G309">
        <f>IF(A309="","",MONTH(A309))</f>
        <v/>
      </c>
    </row>
    <row r="310">
      <c r="A310" s="2" t="n"/>
      <c r="B310" s="3" t="n"/>
      <c r="C310" s="3" t="n"/>
      <c r="D310" s="3" t="n"/>
      <c r="E310" s="3" t="n"/>
      <c r="F310" s="3" t="n"/>
      <c r="G310">
        <f>IF(A310="","",MONTH(A310))</f>
        <v/>
      </c>
    </row>
    <row r="311">
      <c r="A311" s="2" t="n"/>
      <c r="B311" s="3" t="n"/>
      <c r="C311" s="3" t="n"/>
      <c r="D311" s="3" t="n"/>
      <c r="E311" s="3" t="n"/>
      <c r="F311" s="3" t="n"/>
      <c r="G311">
        <f>IF(A311="","",MONTH(A311))</f>
        <v/>
      </c>
    </row>
    <row r="312">
      <c r="A312" s="2" t="n"/>
      <c r="B312" s="3" t="n"/>
      <c r="C312" s="3" t="n"/>
      <c r="D312" s="3" t="n"/>
      <c r="E312" s="3" t="n"/>
      <c r="F312" s="3" t="n"/>
      <c r="G312">
        <f>IF(A312="","",MONTH(A312))</f>
        <v/>
      </c>
    </row>
    <row r="313">
      <c r="A313" s="2" t="n"/>
      <c r="B313" s="3" t="n"/>
      <c r="C313" s="3" t="n"/>
      <c r="D313" s="3" t="n"/>
      <c r="E313" s="3" t="n"/>
      <c r="F313" s="3" t="n"/>
      <c r="G313">
        <f>IF(A313="","",MONTH(A313))</f>
        <v/>
      </c>
    </row>
    <row r="314">
      <c r="A314" s="2" t="n"/>
      <c r="B314" s="3" t="n"/>
      <c r="C314" s="3" t="n"/>
      <c r="D314" s="3" t="n"/>
      <c r="E314" s="3" t="n"/>
      <c r="F314" s="3" t="n"/>
      <c r="G314">
        <f>IF(A314="","",MONTH(A314))</f>
        <v/>
      </c>
    </row>
    <row r="315">
      <c r="A315" s="2" t="n"/>
      <c r="B315" s="3" t="n"/>
      <c r="C315" s="3" t="n"/>
      <c r="D315" s="3" t="n"/>
      <c r="E315" s="3" t="n"/>
      <c r="F315" s="3" t="n"/>
      <c r="G315">
        <f>IF(A315="","",MONTH(A315))</f>
        <v/>
      </c>
    </row>
    <row r="316">
      <c r="A316" s="2" t="n"/>
      <c r="B316" s="3" t="n"/>
      <c r="C316" s="3" t="n"/>
      <c r="D316" s="3" t="n"/>
      <c r="E316" s="3" t="n"/>
      <c r="F316" s="3" t="n"/>
      <c r="G316">
        <f>IF(A316="","",MONTH(A316))</f>
        <v/>
      </c>
    </row>
    <row r="317">
      <c r="A317" s="2" t="n"/>
      <c r="B317" s="3" t="n"/>
      <c r="C317" s="3" t="n"/>
      <c r="D317" s="3" t="n"/>
      <c r="E317" s="3" t="n"/>
      <c r="F317" s="3" t="n"/>
      <c r="G317">
        <f>IF(A317="","",MONTH(A317))</f>
        <v/>
      </c>
    </row>
    <row r="318">
      <c r="A318" s="2" t="n"/>
      <c r="B318" s="3" t="n"/>
      <c r="C318" s="3" t="n"/>
      <c r="D318" s="3" t="n"/>
      <c r="E318" s="3" t="n"/>
      <c r="F318" s="3" t="n"/>
      <c r="G318">
        <f>IF(A318="","",MONTH(A318))</f>
        <v/>
      </c>
    </row>
    <row r="319">
      <c r="A319" s="2" t="n"/>
      <c r="B319" s="3" t="n"/>
      <c r="C319" s="3" t="n"/>
      <c r="D319" s="3" t="n"/>
      <c r="E319" s="3" t="n"/>
      <c r="F319" s="3" t="n"/>
      <c r="G319">
        <f>IF(A319="","",MONTH(A319))</f>
        <v/>
      </c>
    </row>
    <row r="320">
      <c r="A320" s="2" t="n"/>
      <c r="B320" s="3" t="n"/>
      <c r="C320" s="3" t="n"/>
      <c r="D320" s="3" t="n"/>
      <c r="E320" s="3" t="n"/>
      <c r="F320" s="3" t="n"/>
      <c r="G320">
        <f>IF(A320="","",MONTH(A320))</f>
        <v/>
      </c>
    </row>
    <row r="321">
      <c r="A321" s="2" t="n"/>
      <c r="B321" s="3" t="n"/>
      <c r="C321" s="3" t="n"/>
      <c r="D321" s="3" t="n"/>
      <c r="E321" s="3" t="n"/>
      <c r="F321" s="3" t="n"/>
      <c r="G321">
        <f>IF(A321="","",MONTH(A321))</f>
        <v/>
      </c>
    </row>
    <row r="322">
      <c r="A322" s="2" t="n"/>
      <c r="B322" s="3" t="n"/>
      <c r="C322" s="3" t="n"/>
      <c r="D322" s="3" t="n"/>
      <c r="E322" s="3" t="n"/>
      <c r="F322" s="3" t="n"/>
      <c r="G322">
        <f>IF(A322="","",MONTH(A322))</f>
        <v/>
      </c>
    </row>
    <row r="323">
      <c r="A323" s="2" t="n"/>
      <c r="B323" s="3" t="n"/>
      <c r="C323" s="3" t="n"/>
      <c r="D323" s="3" t="n"/>
      <c r="E323" s="3" t="n"/>
      <c r="F323" s="3" t="n"/>
      <c r="G323">
        <f>IF(A323="","",MONTH(A323))</f>
        <v/>
      </c>
    </row>
    <row r="324">
      <c r="A324" s="2" t="n"/>
      <c r="B324" s="3" t="n"/>
      <c r="C324" s="3" t="n"/>
      <c r="D324" s="3" t="n"/>
      <c r="E324" s="3" t="n"/>
      <c r="F324" s="3" t="n"/>
      <c r="G324">
        <f>IF(A324="","",MONTH(A324))</f>
        <v/>
      </c>
    </row>
    <row r="325">
      <c r="A325" s="2" t="n"/>
      <c r="B325" s="3" t="n"/>
      <c r="C325" s="3" t="n"/>
      <c r="D325" s="3" t="n"/>
      <c r="E325" s="3" t="n"/>
      <c r="F325" s="3" t="n"/>
      <c r="G325">
        <f>IF(A325="","",MONTH(A325))</f>
        <v/>
      </c>
    </row>
    <row r="326">
      <c r="A326" s="2" t="n"/>
      <c r="B326" s="3" t="n"/>
      <c r="C326" s="3" t="n"/>
      <c r="D326" s="3" t="n"/>
      <c r="E326" s="3" t="n"/>
      <c r="F326" s="3" t="n"/>
      <c r="G326">
        <f>IF(A326="","",MONTH(A326))</f>
        <v/>
      </c>
    </row>
    <row r="327">
      <c r="A327" s="2" t="n"/>
      <c r="B327" s="3" t="n"/>
      <c r="C327" s="3" t="n"/>
      <c r="D327" s="3" t="n"/>
      <c r="E327" s="3" t="n"/>
      <c r="F327" s="3" t="n"/>
      <c r="G327">
        <f>IF(A327="","",MONTH(A327))</f>
        <v/>
      </c>
    </row>
    <row r="328">
      <c r="A328" s="2" t="n"/>
      <c r="B328" s="3" t="n"/>
      <c r="C328" s="3" t="n"/>
      <c r="D328" s="3" t="n"/>
      <c r="E328" s="3" t="n"/>
      <c r="F328" s="3" t="n"/>
      <c r="G328">
        <f>IF(A328="","",MONTH(A328))</f>
        <v/>
      </c>
    </row>
    <row r="329">
      <c r="A329" s="2" t="n"/>
      <c r="B329" s="3" t="n"/>
      <c r="C329" s="3" t="n"/>
      <c r="D329" s="3" t="n"/>
      <c r="E329" s="3" t="n"/>
      <c r="F329" s="3" t="n"/>
      <c r="G329">
        <f>IF(A329="","",MONTH(A329))</f>
        <v/>
      </c>
    </row>
    <row r="330">
      <c r="A330" s="2" t="n"/>
      <c r="B330" s="3" t="n"/>
      <c r="C330" s="3" t="n"/>
      <c r="D330" s="3" t="n"/>
      <c r="E330" s="3" t="n"/>
      <c r="F330" s="3" t="n"/>
      <c r="G330">
        <f>IF(A330="","",MONTH(A330))</f>
        <v/>
      </c>
    </row>
    <row r="331">
      <c r="A331" s="2" t="n"/>
      <c r="B331" s="3" t="n"/>
      <c r="C331" s="3" t="n"/>
      <c r="D331" s="3" t="n"/>
      <c r="E331" s="3" t="n"/>
      <c r="F331" s="3" t="n"/>
      <c r="G331">
        <f>IF(A331="","",MONTH(A331))</f>
        <v/>
      </c>
    </row>
    <row r="332">
      <c r="A332" s="2" t="n"/>
      <c r="B332" s="3" t="n"/>
      <c r="C332" s="3" t="n"/>
      <c r="D332" s="3" t="n"/>
      <c r="E332" s="3" t="n"/>
      <c r="F332" s="3" t="n"/>
      <c r="G332">
        <f>IF(A332="","",MONTH(A332))</f>
        <v/>
      </c>
    </row>
    <row r="333">
      <c r="A333" s="2" t="n"/>
      <c r="B333" s="3" t="n"/>
      <c r="C333" s="3" t="n"/>
      <c r="D333" s="3" t="n"/>
      <c r="E333" s="3" t="n"/>
      <c r="F333" s="3" t="n"/>
      <c r="G333">
        <f>IF(A333="","",MONTH(A333))</f>
        <v/>
      </c>
    </row>
    <row r="334">
      <c r="A334" s="2" t="n"/>
      <c r="B334" s="3" t="n"/>
      <c r="C334" s="3" t="n"/>
      <c r="D334" s="3" t="n"/>
      <c r="E334" s="3" t="n"/>
      <c r="F334" s="3" t="n"/>
      <c r="G334">
        <f>IF(A334="","",MONTH(A334))</f>
        <v/>
      </c>
    </row>
    <row r="335">
      <c r="A335" s="2" t="n"/>
      <c r="B335" s="3" t="n"/>
      <c r="C335" s="3" t="n"/>
      <c r="D335" s="3" t="n"/>
      <c r="E335" s="3" t="n"/>
      <c r="F335" s="3" t="n"/>
      <c r="G335">
        <f>IF(A335="","",MONTH(A335))</f>
        <v/>
      </c>
    </row>
    <row r="336">
      <c r="A336" s="2" t="n"/>
      <c r="B336" s="3" t="n"/>
      <c r="C336" s="3" t="n"/>
      <c r="D336" s="3" t="n"/>
      <c r="E336" s="3" t="n"/>
      <c r="F336" s="3" t="n"/>
      <c r="G336">
        <f>IF(A336="","",MONTH(A336))</f>
        <v/>
      </c>
    </row>
    <row r="337">
      <c r="A337" s="2" t="n"/>
      <c r="B337" s="3" t="n"/>
      <c r="C337" s="3" t="n"/>
      <c r="D337" s="3" t="n"/>
      <c r="E337" s="3" t="n"/>
      <c r="F337" s="3" t="n"/>
      <c r="G337">
        <f>IF(A337="","",MONTH(A337))</f>
        <v/>
      </c>
    </row>
    <row r="338">
      <c r="A338" s="2" t="n"/>
      <c r="B338" s="3" t="n"/>
      <c r="C338" s="3" t="n"/>
      <c r="D338" s="3" t="n"/>
      <c r="E338" s="3" t="n"/>
      <c r="F338" s="3" t="n"/>
      <c r="G338">
        <f>IF(A338="","",MONTH(A338))</f>
        <v/>
      </c>
    </row>
    <row r="339">
      <c r="A339" s="2" t="n"/>
      <c r="B339" s="3" t="n"/>
      <c r="C339" s="3" t="n"/>
      <c r="D339" s="3" t="n"/>
      <c r="E339" s="3" t="n"/>
      <c r="F339" s="3" t="n"/>
      <c r="G339">
        <f>IF(A339="","",MONTH(A339))</f>
        <v/>
      </c>
    </row>
    <row r="340">
      <c r="A340" s="2" t="n"/>
      <c r="B340" s="3" t="n"/>
      <c r="C340" s="3" t="n"/>
      <c r="D340" s="3" t="n"/>
      <c r="E340" s="3" t="n"/>
      <c r="F340" s="3" t="n"/>
      <c r="G340">
        <f>IF(A340="","",MONTH(A340))</f>
        <v/>
      </c>
    </row>
    <row r="341">
      <c r="A341" s="2" t="n"/>
      <c r="B341" s="3" t="n"/>
      <c r="C341" s="3" t="n"/>
      <c r="D341" s="3" t="n"/>
      <c r="E341" s="3" t="n"/>
      <c r="F341" s="3" t="n"/>
      <c r="G341">
        <f>IF(A341="","",MONTH(A341))</f>
        <v/>
      </c>
    </row>
    <row r="342">
      <c r="A342" s="2" t="n"/>
      <c r="B342" s="3" t="n"/>
      <c r="C342" s="3" t="n"/>
      <c r="D342" s="3" t="n"/>
      <c r="E342" s="3" t="n"/>
      <c r="F342" s="3" t="n"/>
      <c r="G342">
        <f>IF(A342="","",MONTH(A342))</f>
        <v/>
      </c>
    </row>
    <row r="343">
      <c r="A343" s="2" t="n"/>
      <c r="B343" s="3" t="n"/>
      <c r="C343" s="3" t="n"/>
      <c r="D343" s="3" t="n"/>
      <c r="E343" s="3" t="n"/>
      <c r="F343" s="3" t="n"/>
      <c r="G343">
        <f>IF(A343="","",MONTH(A343))</f>
        <v/>
      </c>
    </row>
    <row r="344">
      <c r="A344" s="2" t="n"/>
      <c r="B344" s="3" t="n"/>
      <c r="C344" s="3" t="n"/>
      <c r="D344" s="3" t="n"/>
      <c r="E344" s="3" t="n"/>
      <c r="F344" s="3" t="n"/>
      <c r="G344">
        <f>IF(A344="","",MONTH(A344))</f>
        <v/>
      </c>
    </row>
    <row r="345">
      <c r="A345" s="2" t="n"/>
      <c r="B345" s="3" t="n"/>
      <c r="C345" s="3" t="n"/>
      <c r="D345" s="3" t="n"/>
      <c r="E345" s="3" t="n"/>
      <c r="F345" s="3" t="n"/>
      <c r="G345">
        <f>IF(A345="","",MONTH(A345))</f>
        <v/>
      </c>
    </row>
    <row r="346">
      <c r="A346" s="2" t="n"/>
      <c r="B346" s="3" t="n"/>
      <c r="C346" s="3" t="n"/>
      <c r="D346" s="3" t="n"/>
      <c r="E346" s="3" t="n"/>
      <c r="F346" s="3" t="n"/>
      <c r="G346">
        <f>IF(A346="","",MONTH(A346))</f>
        <v/>
      </c>
    </row>
    <row r="347">
      <c r="A347" s="2" t="n"/>
      <c r="B347" s="3" t="n"/>
      <c r="C347" s="3" t="n"/>
      <c r="D347" s="3" t="n"/>
      <c r="E347" s="3" t="n"/>
      <c r="F347" s="3" t="n"/>
      <c r="G347">
        <f>IF(A347="","",MONTH(A347))</f>
        <v/>
      </c>
    </row>
    <row r="348">
      <c r="A348" s="2" t="n"/>
      <c r="B348" s="3" t="n"/>
      <c r="C348" s="3" t="n"/>
      <c r="D348" s="3" t="n"/>
      <c r="E348" s="3" t="n"/>
      <c r="F348" s="3" t="n"/>
      <c r="G348">
        <f>IF(A348="","",MONTH(A348))</f>
        <v/>
      </c>
    </row>
    <row r="349">
      <c r="A349" s="2" t="n"/>
      <c r="B349" s="3" t="n"/>
      <c r="C349" s="3" t="n"/>
      <c r="D349" s="3" t="n"/>
      <c r="E349" s="3" t="n"/>
      <c r="F349" s="3" t="n"/>
      <c r="G349">
        <f>IF(A349="","",MONTH(A349))</f>
        <v/>
      </c>
    </row>
    <row r="350">
      <c r="A350" s="2" t="n"/>
      <c r="B350" s="3" t="n"/>
      <c r="C350" s="3" t="n"/>
      <c r="D350" s="3" t="n"/>
      <c r="E350" s="3" t="n"/>
      <c r="F350" s="3" t="n"/>
      <c r="G350">
        <f>IF(A350="","",MONTH(A350))</f>
        <v/>
      </c>
    </row>
    <row r="351">
      <c r="A351" s="2" t="n"/>
      <c r="B351" s="3" t="n"/>
      <c r="C351" s="3" t="n"/>
      <c r="D351" s="3" t="n"/>
      <c r="E351" s="3" t="n"/>
      <c r="F351" s="3" t="n"/>
      <c r="G351">
        <f>IF(A351="","",MONTH(A351))</f>
        <v/>
      </c>
    </row>
    <row r="352">
      <c r="A352" s="2" t="n"/>
      <c r="B352" s="3" t="n"/>
      <c r="C352" s="3" t="n"/>
      <c r="D352" s="3" t="n"/>
      <c r="E352" s="3" t="n"/>
      <c r="F352" s="3" t="n"/>
      <c r="G352">
        <f>IF(A352="","",MONTH(A352))</f>
        <v/>
      </c>
    </row>
    <row r="353">
      <c r="A353" s="2" t="n"/>
      <c r="B353" s="3" t="n"/>
      <c r="C353" s="3" t="n"/>
      <c r="D353" s="3" t="n"/>
      <c r="E353" s="3" t="n"/>
      <c r="F353" s="3" t="n"/>
      <c r="G353">
        <f>IF(A353="","",MONTH(A353))</f>
        <v/>
      </c>
    </row>
    <row r="354">
      <c r="A354" s="2" t="n"/>
      <c r="B354" s="3" t="n"/>
      <c r="C354" s="3" t="n"/>
      <c r="D354" s="3" t="n"/>
      <c r="E354" s="3" t="n"/>
      <c r="F354" s="3" t="n"/>
      <c r="G354">
        <f>IF(A354="","",MONTH(A354))</f>
        <v/>
      </c>
    </row>
    <row r="355">
      <c r="A355" s="2" t="n"/>
      <c r="B355" s="3" t="n"/>
      <c r="C355" s="3" t="n"/>
      <c r="D355" s="3" t="n"/>
      <c r="E355" s="3" t="n"/>
      <c r="F355" s="3" t="n"/>
      <c r="G355">
        <f>IF(A355="","",MONTH(A355))</f>
        <v/>
      </c>
    </row>
    <row r="356">
      <c r="A356" s="2" t="n"/>
      <c r="B356" s="3" t="n"/>
      <c r="C356" s="3" t="n"/>
      <c r="D356" s="3" t="n"/>
      <c r="E356" s="3" t="n"/>
      <c r="F356" s="3" t="n"/>
      <c r="G356">
        <f>IF(A356="","",MONTH(A356))</f>
        <v/>
      </c>
    </row>
    <row r="357">
      <c r="A357" s="2" t="n"/>
      <c r="B357" s="3" t="n"/>
      <c r="C357" s="3" t="n"/>
      <c r="D357" s="3" t="n"/>
      <c r="E357" s="3" t="n"/>
      <c r="F357" s="3" t="n"/>
      <c r="G357">
        <f>IF(A357="","",MONTH(A357))</f>
        <v/>
      </c>
    </row>
    <row r="358">
      <c r="A358" s="2" t="n"/>
      <c r="B358" s="3" t="n"/>
      <c r="C358" s="3" t="n"/>
      <c r="D358" s="3" t="n"/>
      <c r="E358" s="3" t="n"/>
      <c r="F358" s="3" t="n"/>
      <c r="G358">
        <f>IF(A358="","",MONTH(A358))</f>
        <v/>
      </c>
    </row>
    <row r="359">
      <c r="A359" s="2" t="n"/>
      <c r="B359" s="3" t="n"/>
      <c r="C359" s="3" t="n"/>
      <c r="D359" s="3" t="n"/>
      <c r="E359" s="3" t="n"/>
      <c r="F359" s="3" t="n"/>
      <c r="G359">
        <f>IF(A359="","",MONTH(A359))</f>
        <v/>
      </c>
    </row>
    <row r="360">
      <c r="A360" s="2" t="n"/>
      <c r="B360" s="3" t="n"/>
      <c r="C360" s="3" t="n"/>
      <c r="D360" s="3" t="n"/>
      <c r="E360" s="3" t="n"/>
      <c r="F360" s="3" t="n"/>
      <c r="G360">
        <f>IF(A360="","",MONTH(A360))</f>
        <v/>
      </c>
    </row>
    <row r="361">
      <c r="A361" s="2" t="n"/>
      <c r="B361" s="3" t="n"/>
      <c r="C361" s="3" t="n"/>
      <c r="D361" s="3" t="n"/>
      <c r="E361" s="3" t="n"/>
      <c r="F361" s="3" t="n"/>
      <c r="G361">
        <f>IF(A361="","",MONTH(A361))</f>
        <v/>
      </c>
    </row>
    <row r="362">
      <c r="A362" s="2" t="n"/>
      <c r="B362" s="3" t="n"/>
      <c r="C362" s="3" t="n"/>
      <c r="D362" s="3" t="n"/>
      <c r="E362" s="3" t="n"/>
      <c r="F362" s="3" t="n"/>
      <c r="G362">
        <f>IF(A362="","",MONTH(A362))</f>
        <v/>
      </c>
    </row>
    <row r="363">
      <c r="A363" s="2" t="n"/>
      <c r="B363" s="3" t="n"/>
      <c r="C363" s="3" t="n"/>
      <c r="D363" s="3" t="n"/>
      <c r="E363" s="3" t="n"/>
      <c r="F363" s="3" t="n"/>
      <c r="G363">
        <f>IF(A363="","",MONTH(A363))</f>
        <v/>
      </c>
    </row>
    <row r="364">
      <c r="A364" s="2" t="n"/>
      <c r="B364" s="3" t="n"/>
      <c r="C364" s="3" t="n"/>
      <c r="D364" s="3" t="n"/>
      <c r="E364" s="3" t="n"/>
      <c r="F364" s="3" t="n"/>
      <c r="G364">
        <f>IF(A364="","",MONTH(A364))</f>
        <v/>
      </c>
    </row>
    <row r="365">
      <c r="A365" s="2" t="n"/>
      <c r="B365" s="3" t="n"/>
      <c r="C365" s="3" t="n"/>
      <c r="D365" s="3" t="n"/>
      <c r="E365" s="3" t="n"/>
      <c r="F365" s="3" t="n"/>
      <c r="G365">
        <f>IF(A365="","",MONTH(A365))</f>
        <v/>
      </c>
    </row>
    <row r="366">
      <c r="A366" s="2" t="n"/>
      <c r="B366" s="3" t="n"/>
      <c r="C366" s="3" t="n"/>
      <c r="D366" s="3" t="n"/>
      <c r="E366" s="3" t="n"/>
      <c r="F366" s="3" t="n"/>
      <c r="G366">
        <f>IF(A366="","",MONTH(A366))</f>
        <v/>
      </c>
    </row>
    <row r="367">
      <c r="A367" s="2" t="n"/>
      <c r="B367" s="3" t="n"/>
      <c r="C367" s="3" t="n"/>
      <c r="D367" s="3" t="n"/>
      <c r="E367" s="3" t="n"/>
      <c r="F367" s="3" t="n"/>
      <c r="G367">
        <f>IF(A367="","",MONTH(A367))</f>
        <v/>
      </c>
    </row>
    <row r="368">
      <c r="A368" s="2" t="n"/>
      <c r="B368" s="3" t="n"/>
      <c r="C368" s="3" t="n"/>
      <c r="D368" s="3" t="n"/>
      <c r="E368" s="3" t="n"/>
      <c r="F368" s="3" t="n"/>
      <c r="G368">
        <f>IF(A368="","",MONTH(A368))</f>
        <v/>
      </c>
    </row>
    <row r="369">
      <c r="A369" s="2" t="n"/>
      <c r="B369" s="3" t="n"/>
      <c r="C369" s="3" t="n"/>
      <c r="D369" s="3" t="n"/>
      <c r="E369" s="3" t="n"/>
      <c r="F369" s="3" t="n"/>
      <c r="G369">
        <f>IF(A369="","",MONTH(A369))</f>
        <v/>
      </c>
    </row>
    <row r="370">
      <c r="A370" s="2" t="n"/>
      <c r="B370" s="3" t="n"/>
      <c r="C370" s="3" t="n"/>
      <c r="D370" s="3" t="n"/>
      <c r="E370" s="3" t="n"/>
      <c r="F370" s="3" t="n"/>
      <c r="G370">
        <f>IF(A370="","",MONTH(A370))</f>
        <v/>
      </c>
    </row>
    <row r="371">
      <c r="A371" s="2" t="n"/>
      <c r="B371" s="3" t="n"/>
      <c r="C371" s="3" t="n"/>
      <c r="D371" s="3" t="n"/>
      <c r="E371" s="3" t="n"/>
      <c r="F371" s="3" t="n"/>
      <c r="G371">
        <f>IF(A371="","",MONTH(A371))</f>
        <v/>
      </c>
    </row>
    <row r="372">
      <c r="A372" s="2" t="n"/>
      <c r="B372" s="3" t="n"/>
      <c r="C372" s="3" t="n"/>
      <c r="D372" s="3" t="n"/>
      <c r="E372" s="3" t="n"/>
      <c r="F372" s="3" t="n"/>
      <c r="G372">
        <f>IF(A372="","",MONTH(A372))</f>
        <v/>
      </c>
    </row>
    <row r="373">
      <c r="A373" s="2" t="n"/>
      <c r="B373" s="3" t="n"/>
      <c r="C373" s="3" t="n"/>
      <c r="D373" s="3" t="n"/>
      <c r="E373" s="3" t="n"/>
      <c r="F373" s="3" t="n"/>
      <c r="G373">
        <f>IF(A373="","",MONTH(A373))</f>
        <v/>
      </c>
    </row>
    <row r="374">
      <c r="A374" s="2" t="n"/>
      <c r="B374" s="3" t="n"/>
      <c r="C374" s="3" t="n"/>
      <c r="D374" s="3" t="n"/>
      <c r="E374" s="3" t="n"/>
      <c r="F374" s="3" t="n"/>
      <c r="G374">
        <f>IF(A374="","",MONTH(A374))</f>
        <v/>
      </c>
    </row>
    <row r="375">
      <c r="A375" s="2" t="n"/>
      <c r="B375" s="3" t="n"/>
      <c r="C375" s="3" t="n"/>
      <c r="D375" s="3" t="n"/>
      <c r="E375" s="3" t="n"/>
      <c r="F375" s="3" t="n"/>
      <c r="G375">
        <f>IF(A375="","",MONTH(A375))</f>
        <v/>
      </c>
    </row>
    <row r="376">
      <c r="A376" s="2" t="n"/>
      <c r="B376" s="3" t="n"/>
      <c r="C376" s="3" t="n"/>
      <c r="D376" s="3" t="n"/>
      <c r="E376" s="3" t="n"/>
      <c r="F376" s="3" t="n"/>
      <c r="G376">
        <f>IF(A376="","",MONTH(A376))</f>
        <v/>
      </c>
    </row>
    <row r="377">
      <c r="A377" s="2" t="n"/>
      <c r="B377" s="3" t="n"/>
      <c r="C377" s="3" t="n"/>
      <c r="D377" s="3" t="n"/>
      <c r="E377" s="3" t="n"/>
      <c r="F377" s="3" t="n"/>
      <c r="G377">
        <f>IF(A377="","",MONTH(A377))</f>
        <v/>
      </c>
    </row>
    <row r="378">
      <c r="A378" s="2" t="n"/>
      <c r="B378" s="3" t="n"/>
      <c r="C378" s="3" t="n"/>
      <c r="D378" s="3" t="n"/>
      <c r="E378" s="3" t="n"/>
      <c r="F378" s="3" t="n"/>
      <c r="G378">
        <f>IF(A378="","",MONTH(A378))</f>
        <v/>
      </c>
    </row>
    <row r="379">
      <c r="A379" s="2" t="n"/>
      <c r="B379" s="3" t="n"/>
      <c r="C379" s="3" t="n"/>
      <c r="D379" s="3" t="n"/>
      <c r="E379" s="3" t="n"/>
      <c r="F379" s="3" t="n"/>
      <c r="G379">
        <f>IF(A379="","",MONTH(A379))</f>
        <v/>
      </c>
    </row>
    <row r="380">
      <c r="A380" s="2" t="n"/>
      <c r="B380" s="3" t="n"/>
      <c r="C380" s="3" t="n"/>
      <c r="D380" s="3" t="n"/>
      <c r="E380" s="3" t="n"/>
      <c r="F380" s="3" t="n"/>
      <c r="G380">
        <f>IF(A380="","",MONTH(A380))</f>
        <v/>
      </c>
    </row>
    <row r="381">
      <c r="A381" s="2" t="n"/>
      <c r="B381" s="3" t="n"/>
      <c r="C381" s="3" t="n"/>
      <c r="D381" s="3" t="n"/>
      <c r="E381" s="3" t="n"/>
      <c r="F381" s="3" t="n"/>
      <c r="G381">
        <f>IF(A381="","",MONTH(A381))</f>
        <v/>
      </c>
    </row>
    <row r="382">
      <c r="A382" s="2" t="n"/>
      <c r="B382" s="3" t="n"/>
      <c r="C382" s="3" t="n"/>
      <c r="D382" s="3" t="n"/>
      <c r="E382" s="3" t="n"/>
      <c r="F382" s="3" t="n"/>
      <c r="G382">
        <f>IF(A382="","",MONTH(A382))</f>
        <v/>
      </c>
    </row>
    <row r="383">
      <c r="A383" s="2" t="n"/>
      <c r="B383" s="3" t="n"/>
      <c r="C383" s="3" t="n"/>
      <c r="D383" s="3" t="n"/>
      <c r="E383" s="3" t="n"/>
      <c r="F383" s="3" t="n"/>
      <c r="G383">
        <f>IF(A383="","",MONTH(A383))</f>
        <v/>
      </c>
    </row>
    <row r="384">
      <c r="A384" s="2" t="n"/>
      <c r="B384" s="3" t="n"/>
      <c r="C384" s="3" t="n"/>
      <c r="D384" s="3" t="n"/>
      <c r="E384" s="3" t="n"/>
      <c r="F384" s="3" t="n"/>
      <c r="G384">
        <f>IF(A384="","",MONTH(A384))</f>
        <v/>
      </c>
    </row>
    <row r="385">
      <c r="A385" s="2" t="n"/>
      <c r="B385" s="3" t="n"/>
      <c r="C385" s="3" t="n"/>
      <c r="D385" s="3" t="n"/>
      <c r="E385" s="3" t="n"/>
      <c r="F385" s="3" t="n"/>
      <c r="G385">
        <f>IF(A385="","",MONTH(A385))</f>
        <v/>
      </c>
    </row>
    <row r="386">
      <c r="A386" s="2" t="n"/>
      <c r="B386" s="3" t="n"/>
      <c r="C386" s="3" t="n"/>
      <c r="D386" s="3" t="n"/>
      <c r="E386" s="3" t="n"/>
      <c r="F386" s="3" t="n"/>
      <c r="G386">
        <f>IF(A386="","",MONTH(A386))</f>
        <v/>
      </c>
    </row>
    <row r="387">
      <c r="A387" s="2" t="n"/>
      <c r="B387" s="3" t="n"/>
      <c r="C387" s="3" t="n"/>
      <c r="D387" s="3" t="n"/>
      <c r="E387" s="3" t="n"/>
      <c r="F387" s="3" t="n"/>
      <c r="G387">
        <f>IF(A387="","",MONTH(A387))</f>
        <v/>
      </c>
    </row>
    <row r="388">
      <c r="A388" s="2" t="n"/>
      <c r="B388" s="3" t="n"/>
      <c r="C388" s="3" t="n"/>
      <c r="D388" s="3" t="n"/>
      <c r="E388" s="3" t="n"/>
      <c r="F388" s="3" t="n"/>
      <c r="G388">
        <f>IF(A388="","",MONTH(A388))</f>
        <v/>
      </c>
    </row>
    <row r="389">
      <c r="A389" s="2" t="n"/>
      <c r="B389" s="3" t="n"/>
      <c r="C389" s="3" t="n"/>
      <c r="D389" s="3" t="n"/>
      <c r="E389" s="3" t="n"/>
      <c r="F389" s="3" t="n"/>
      <c r="G389">
        <f>IF(A389="","",MONTH(A389))</f>
        <v/>
      </c>
    </row>
    <row r="390">
      <c r="A390" s="2" t="n"/>
      <c r="B390" s="3" t="n"/>
      <c r="C390" s="3" t="n"/>
      <c r="D390" s="3" t="n"/>
      <c r="E390" s="3" t="n"/>
      <c r="F390" s="3" t="n"/>
      <c r="G390">
        <f>IF(A390="","",MONTH(A390))</f>
        <v/>
      </c>
    </row>
    <row r="391">
      <c r="A391" s="2" t="n"/>
      <c r="B391" s="3" t="n"/>
      <c r="C391" s="3" t="n"/>
      <c r="D391" s="3" t="n"/>
      <c r="E391" s="3" t="n"/>
      <c r="F391" s="3" t="n"/>
      <c r="G391">
        <f>IF(A391="","",MONTH(A391))</f>
        <v/>
      </c>
    </row>
    <row r="392">
      <c r="A392" s="2" t="n"/>
      <c r="B392" s="3" t="n"/>
      <c r="C392" s="3" t="n"/>
      <c r="D392" s="3" t="n"/>
      <c r="E392" s="3" t="n"/>
      <c r="F392" s="3" t="n"/>
      <c r="G392">
        <f>IF(A392="","",MONTH(A392))</f>
        <v/>
      </c>
    </row>
    <row r="393">
      <c r="A393" s="2" t="n"/>
      <c r="B393" s="3" t="n"/>
      <c r="C393" s="3" t="n"/>
      <c r="D393" s="3" t="n"/>
      <c r="E393" s="3" t="n"/>
      <c r="F393" s="3" t="n"/>
      <c r="G393">
        <f>IF(A393="","",MONTH(A393))</f>
        <v/>
      </c>
    </row>
    <row r="394">
      <c r="A394" s="2" t="n"/>
      <c r="B394" s="3" t="n"/>
      <c r="C394" s="3" t="n"/>
      <c r="D394" s="3" t="n"/>
      <c r="E394" s="3" t="n"/>
      <c r="F394" s="3" t="n"/>
      <c r="G394">
        <f>IF(A394="","",MONTH(A394))</f>
        <v/>
      </c>
    </row>
    <row r="395">
      <c r="A395" s="2" t="n"/>
      <c r="B395" s="3" t="n"/>
      <c r="C395" s="3" t="n"/>
      <c r="D395" s="3" t="n"/>
      <c r="E395" s="3" t="n"/>
      <c r="F395" s="3" t="n"/>
      <c r="G395">
        <f>IF(A395="","",MONTH(A395))</f>
        <v/>
      </c>
    </row>
    <row r="396">
      <c r="A396" s="2" t="n"/>
      <c r="B396" s="3" t="n"/>
      <c r="C396" s="3" t="n"/>
      <c r="D396" s="3" t="n"/>
      <c r="E396" s="3" t="n"/>
      <c r="F396" s="3" t="n"/>
      <c r="G396">
        <f>IF(A396="","",MONTH(A396))</f>
        <v/>
      </c>
    </row>
    <row r="397">
      <c r="A397" s="2" t="n"/>
      <c r="B397" s="3" t="n"/>
      <c r="C397" s="3" t="n"/>
      <c r="D397" s="3" t="n"/>
      <c r="E397" s="3" t="n"/>
      <c r="F397" s="3" t="n"/>
      <c r="G397">
        <f>IF(A397="","",MONTH(A397))</f>
        <v/>
      </c>
    </row>
    <row r="398">
      <c r="A398" s="2" t="n"/>
      <c r="B398" s="3" t="n"/>
      <c r="C398" s="3" t="n"/>
      <c r="D398" s="3" t="n"/>
      <c r="E398" s="3" t="n"/>
      <c r="F398" s="3" t="n"/>
      <c r="G398">
        <f>IF(A398="","",MONTH(A398))</f>
        <v/>
      </c>
    </row>
    <row r="399">
      <c r="A399" s="2" t="n"/>
      <c r="B399" s="3" t="n"/>
      <c r="C399" s="3" t="n"/>
      <c r="D399" s="3" t="n"/>
      <c r="E399" s="3" t="n"/>
      <c r="F399" s="3" t="n"/>
      <c r="G399">
        <f>IF(A399="","",MONTH(A399))</f>
        <v/>
      </c>
    </row>
    <row r="400">
      <c r="A400" s="2" t="n"/>
      <c r="B400" s="3" t="n"/>
      <c r="C400" s="3" t="n"/>
      <c r="D400" s="3" t="n"/>
      <c r="E400" s="3" t="n"/>
      <c r="F400" s="3" t="n"/>
      <c r="G400">
        <f>IF(A400="","",MONTH(A400))</f>
        <v/>
      </c>
    </row>
    <row r="401">
      <c r="A401" s="2" t="n"/>
      <c r="B401" s="3" t="n"/>
      <c r="C401" s="3" t="n"/>
      <c r="D401" s="3" t="n"/>
      <c r="E401" s="3" t="n"/>
      <c r="F401" s="3" t="n"/>
      <c r="G401">
        <f>IF(A401="","",MONTH(A401))</f>
        <v/>
      </c>
    </row>
    <row r="402">
      <c r="A402" s="2" t="n"/>
      <c r="B402" s="3" t="n"/>
      <c r="C402" s="3" t="n"/>
      <c r="D402" s="3" t="n"/>
      <c r="E402" s="3" t="n"/>
      <c r="F402" s="3" t="n"/>
      <c r="G402">
        <f>IF(A402="","",MONTH(A402))</f>
        <v/>
      </c>
    </row>
    <row r="403">
      <c r="A403" s="2" t="n"/>
      <c r="B403" s="3" t="n"/>
      <c r="C403" s="3" t="n"/>
      <c r="D403" s="3" t="n"/>
      <c r="E403" s="3" t="n"/>
      <c r="F403" s="3" t="n"/>
      <c r="G403">
        <f>IF(A403="","",MONTH(A403))</f>
        <v/>
      </c>
    </row>
    <row r="404">
      <c r="A404" s="2" t="n"/>
      <c r="B404" s="3" t="n"/>
      <c r="C404" s="3" t="n"/>
      <c r="D404" s="3" t="n"/>
      <c r="E404" s="3" t="n"/>
      <c r="F404" s="3" t="n"/>
      <c r="G404">
        <f>IF(A404="","",MONTH(A404))</f>
        <v/>
      </c>
    </row>
    <row r="405">
      <c r="A405" s="2" t="n"/>
      <c r="B405" s="3" t="n"/>
      <c r="C405" s="3" t="n"/>
      <c r="D405" s="3" t="n"/>
      <c r="E405" s="3" t="n"/>
      <c r="F405" s="3" t="n"/>
      <c r="G405">
        <f>IF(A405="","",MONTH(A405))</f>
        <v/>
      </c>
    </row>
    <row r="406">
      <c r="A406" s="2" t="n"/>
      <c r="B406" s="3" t="n"/>
      <c r="C406" s="3" t="n"/>
      <c r="D406" s="3" t="n"/>
      <c r="E406" s="3" t="n"/>
      <c r="F406" s="3" t="n"/>
      <c r="G406">
        <f>IF(A406="","",MONTH(A406))</f>
        <v/>
      </c>
    </row>
    <row r="407">
      <c r="A407" s="2" t="n"/>
      <c r="B407" s="3" t="n"/>
      <c r="C407" s="3" t="n"/>
      <c r="D407" s="3" t="n"/>
      <c r="E407" s="3" t="n"/>
      <c r="F407" s="3" t="n"/>
      <c r="G407">
        <f>IF(A407="","",MONTH(A407))</f>
        <v/>
      </c>
    </row>
    <row r="408">
      <c r="A408" s="2" t="n"/>
      <c r="B408" s="3" t="n"/>
      <c r="C408" s="3" t="n"/>
      <c r="D408" s="3" t="n"/>
      <c r="E408" s="3" t="n"/>
      <c r="F408" s="3" t="n"/>
      <c r="G408">
        <f>IF(A408="","",MONTH(A408))</f>
        <v/>
      </c>
    </row>
    <row r="409">
      <c r="A409" s="2" t="n"/>
      <c r="B409" s="3" t="n"/>
      <c r="C409" s="3" t="n"/>
      <c r="D409" s="3" t="n"/>
      <c r="E409" s="3" t="n"/>
      <c r="F409" s="3" t="n"/>
      <c r="G409">
        <f>IF(A409="","",MONTH(A409))</f>
        <v/>
      </c>
    </row>
    <row r="410">
      <c r="A410" s="2" t="n"/>
      <c r="B410" s="3" t="n"/>
      <c r="C410" s="3" t="n"/>
      <c r="D410" s="3" t="n"/>
      <c r="E410" s="3" t="n"/>
      <c r="F410" s="3" t="n"/>
      <c r="G410">
        <f>IF(A410="","",MONTH(A410))</f>
        <v/>
      </c>
    </row>
    <row r="411">
      <c r="A411" s="2" t="n"/>
      <c r="B411" s="3" t="n"/>
      <c r="C411" s="3" t="n"/>
      <c r="D411" s="3" t="n"/>
      <c r="E411" s="3" t="n"/>
      <c r="F411" s="3" t="n"/>
      <c r="G411">
        <f>IF(A411="","",MONTH(A411))</f>
        <v/>
      </c>
    </row>
    <row r="412">
      <c r="A412" s="2" t="n"/>
      <c r="B412" s="3" t="n"/>
      <c r="C412" s="3" t="n"/>
      <c r="D412" s="3" t="n"/>
      <c r="E412" s="3" t="n"/>
      <c r="F412" s="3" t="n"/>
      <c r="G412">
        <f>IF(A412="","",MONTH(A412))</f>
        <v/>
      </c>
    </row>
    <row r="413">
      <c r="A413" s="2" t="n"/>
      <c r="B413" s="3" t="n"/>
      <c r="C413" s="3" t="n"/>
      <c r="D413" s="3" t="n"/>
      <c r="E413" s="3" t="n"/>
      <c r="F413" s="3" t="n"/>
      <c r="G413">
        <f>IF(A413="","",MONTH(A413))</f>
        <v/>
      </c>
    </row>
    <row r="414">
      <c r="A414" s="2" t="n"/>
      <c r="B414" s="3" t="n"/>
      <c r="C414" s="3" t="n"/>
      <c r="D414" s="3" t="n"/>
      <c r="E414" s="3" t="n"/>
      <c r="F414" s="3" t="n"/>
      <c r="G414">
        <f>IF(A414="","",MONTH(A414))</f>
        <v/>
      </c>
    </row>
    <row r="415">
      <c r="A415" s="2" t="n"/>
      <c r="B415" s="3" t="n"/>
      <c r="C415" s="3" t="n"/>
      <c r="D415" s="3" t="n"/>
      <c r="E415" s="3" t="n"/>
      <c r="F415" s="3" t="n"/>
      <c r="G415">
        <f>IF(A415="","",MONTH(A415))</f>
        <v/>
      </c>
    </row>
    <row r="416">
      <c r="A416" s="2" t="n"/>
      <c r="B416" s="3" t="n"/>
      <c r="C416" s="3" t="n"/>
      <c r="D416" s="3" t="n"/>
      <c r="E416" s="3" t="n"/>
      <c r="F416" s="3" t="n"/>
      <c r="G416">
        <f>IF(A416="","",MONTH(A416))</f>
        <v/>
      </c>
    </row>
    <row r="417">
      <c r="A417" s="2" t="n"/>
      <c r="B417" s="3" t="n"/>
      <c r="C417" s="3" t="n"/>
      <c r="D417" s="3" t="n"/>
      <c r="E417" s="3" t="n"/>
      <c r="F417" s="3" t="n"/>
      <c r="G417">
        <f>IF(A417="","",MONTH(A417))</f>
        <v/>
      </c>
    </row>
    <row r="418">
      <c r="A418" s="2" t="n"/>
      <c r="B418" s="3" t="n"/>
      <c r="C418" s="3" t="n"/>
      <c r="D418" s="3" t="n"/>
      <c r="E418" s="3" t="n"/>
      <c r="F418" s="3" t="n"/>
      <c r="G418">
        <f>IF(A418="","",MONTH(A418))</f>
        <v/>
      </c>
    </row>
    <row r="419">
      <c r="A419" s="2" t="n"/>
      <c r="B419" s="3" t="n"/>
      <c r="C419" s="3" t="n"/>
      <c r="D419" s="3" t="n"/>
      <c r="E419" s="3" t="n"/>
      <c r="F419" s="3" t="n"/>
      <c r="G419">
        <f>IF(A419="","",MONTH(A419))</f>
        <v/>
      </c>
    </row>
    <row r="420">
      <c r="A420" s="2" t="n"/>
      <c r="B420" s="3" t="n"/>
      <c r="C420" s="3" t="n"/>
      <c r="D420" s="3" t="n"/>
      <c r="E420" s="3" t="n"/>
      <c r="F420" s="3" t="n"/>
      <c r="G420">
        <f>IF(A420="","",MONTH(A420))</f>
        <v/>
      </c>
    </row>
    <row r="421">
      <c r="A421" s="2" t="n"/>
      <c r="B421" s="3" t="n"/>
      <c r="C421" s="3" t="n"/>
      <c r="D421" s="3" t="n"/>
      <c r="E421" s="3" t="n"/>
      <c r="F421" s="3" t="n"/>
      <c r="G421">
        <f>IF(A421="","",MONTH(A421))</f>
        <v/>
      </c>
    </row>
    <row r="422">
      <c r="A422" s="2" t="n"/>
      <c r="B422" s="3" t="n"/>
      <c r="C422" s="3" t="n"/>
      <c r="D422" s="3" t="n"/>
      <c r="E422" s="3" t="n"/>
      <c r="F422" s="3" t="n"/>
      <c r="G422">
        <f>IF(A422="","",MONTH(A422))</f>
        <v/>
      </c>
    </row>
    <row r="423">
      <c r="A423" s="2" t="n"/>
      <c r="B423" s="3" t="n"/>
      <c r="C423" s="3" t="n"/>
      <c r="D423" s="3" t="n"/>
      <c r="E423" s="3" t="n"/>
      <c r="F423" s="3" t="n"/>
      <c r="G423">
        <f>IF(A423="","",MONTH(A423))</f>
        <v/>
      </c>
    </row>
    <row r="424">
      <c r="A424" s="2" t="n"/>
      <c r="B424" s="3" t="n"/>
      <c r="C424" s="3" t="n"/>
      <c r="D424" s="3" t="n"/>
      <c r="E424" s="3" t="n"/>
      <c r="F424" s="3" t="n"/>
      <c r="G424">
        <f>IF(A424="","",MONTH(A424))</f>
        <v/>
      </c>
    </row>
    <row r="425">
      <c r="A425" s="2" t="n"/>
      <c r="B425" s="3" t="n"/>
      <c r="C425" s="3" t="n"/>
      <c r="D425" s="3" t="n"/>
      <c r="E425" s="3" t="n"/>
      <c r="F425" s="3" t="n"/>
      <c r="G425">
        <f>IF(A425="","",MONTH(A425))</f>
        <v/>
      </c>
    </row>
    <row r="426">
      <c r="A426" s="2" t="n"/>
      <c r="B426" s="3" t="n"/>
      <c r="C426" s="3" t="n"/>
      <c r="D426" s="3" t="n"/>
      <c r="E426" s="3" t="n"/>
      <c r="F426" s="3" t="n"/>
      <c r="G426">
        <f>IF(A426="","",MONTH(A426))</f>
        <v/>
      </c>
    </row>
    <row r="427">
      <c r="A427" s="2" t="n"/>
      <c r="B427" s="3" t="n"/>
      <c r="C427" s="3" t="n"/>
      <c r="D427" s="3" t="n"/>
      <c r="E427" s="3" t="n"/>
      <c r="F427" s="3" t="n"/>
      <c r="G427">
        <f>IF(A427="","",MONTH(A427))</f>
        <v/>
      </c>
    </row>
    <row r="428">
      <c r="A428" s="2" t="n"/>
      <c r="B428" s="3" t="n"/>
      <c r="C428" s="3" t="n"/>
      <c r="D428" s="3" t="n"/>
      <c r="E428" s="3" t="n"/>
      <c r="F428" s="3" t="n"/>
      <c r="G428">
        <f>IF(A428="","",MONTH(A428))</f>
        <v/>
      </c>
    </row>
    <row r="429">
      <c r="A429" s="2" t="n"/>
      <c r="B429" s="3" t="n"/>
      <c r="C429" s="3" t="n"/>
      <c r="D429" s="3" t="n"/>
      <c r="E429" s="3" t="n"/>
      <c r="F429" s="3" t="n"/>
      <c r="G429">
        <f>IF(A429="","",MONTH(A429))</f>
        <v/>
      </c>
    </row>
    <row r="430">
      <c r="A430" s="2" t="n"/>
      <c r="B430" s="3" t="n"/>
      <c r="C430" s="3" t="n"/>
      <c r="D430" s="3" t="n"/>
      <c r="E430" s="3" t="n"/>
      <c r="F430" s="3" t="n"/>
      <c r="G430">
        <f>IF(A430="","",MONTH(A430))</f>
        <v/>
      </c>
    </row>
    <row r="431">
      <c r="A431" s="2" t="n"/>
      <c r="B431" s="3" t="n"/>
      <c r="C431" s="3" t="n"/>
      <c r="D431" s="3" t="n"/>
      <c r="E431" s="3" t="n"/>
      <c r="F431" s="3" t="n"/>
      <c r="G431">
        <f>IF(A431="","",MONTH(A431))</f>
        <v/>
      </c>
    </row>
    <row r="432">
      <c r="A432" s="2" t="n"/>
      <c r="B432" s="3" t="n"/>
      <c r="C432" s="3" t="n"/>
      <c r="D432" s="3" t="n"/>
      <c r="E432" s="3" t="n"/>
      <c r="F432" s="3" t="n"/>
      <c r="G432">
        <f>IF(A432="","",MONTH(A432))</f>
        <v/>
      </c>
    </row>
    <row r="433">
      <c r="A433" s="2" t="n"/>
      <c r="B433" s="3" t="n"/>
      <c r="C433" s="3" t="n"/>
      <c r="D433" s="3" t="n"/>
      <c r="E433" s="3" t="n"/>
      <c r="F433" s="3" t="n"/>
      <c r="G433">
        <f>IF(A433="","",MONTH(A433))</f>
        <v/>
      </c>
    </row>
    <row r="434">
      <c r="A434" s="2" t="n"/>
      <c r="B434" s="3" t="n"/>
      <c r="C434" s="3" t="n"/>
      <c r="D434" s="3" t="n"/>
      <c r="E434" s="3" t="n"/>
      <c r="F434" s="3" t="n"/>
      <c r="G434">
        <f>IF(A434="","",MONTH(A434))</f>
        <v/>
      </c>
    </row>
    <row r="435">
      <c r="A435" s="2" t="n"/>
      <c r="B435" s="3" t="n"/>
      <c r="C435" s="3" t="n"/>
      <c r="D435" s="3" t="n"/>
      <c r="E435" s="3" t="n"/>
      <c r="F435" s="3" t="n"/>
      <c r="G435">
        <f>IF(A435="","",MONTH(A435))</f>
        <v/>
      </c>
    </row>
    <row r="436">
      <c r="A436" s="2" t="n"/>
      <c r="B436" s="3" t="n"/>
      <c r="C436" s="3" t="n"/>
      <c r="D436" s="3" t="n"/>
      <c r="E436" s="3" t="n"/>
      <c r="F436" s="3" t="n"/>
      <c r="G436">
        <f>IF(A436="","",MONTH(A436))</f>
        <v/>
      </c>
    </row>
    <row r="437">
      <c r="A437" s="2" t="n"/>
      <c r="B437" s="3" t="n"/>
      <c r="C437" s="3" t="n"/>
      <c r="D437" s="3" t="n"/>
      <c r="E437" s="3" t="n"/>
      <c r="F437" s="3" t="n"/>
      <c r="G437">
        <f>IF(A437="","",MONTH(A437))</f>
        <v/>
      </c>
    </row>
    <row r="438">
      <c r="A438" s="2" t="n"/>
      <c r="B438" s="3" t="n"/>
      <c r="C438" s="3" t="n"/>
      <c r="D438" s="3" t="n"/>
      <c r="E438" s="3" t="n"/>
      <c r="F438" s="3" t="n"/>
      <c r="G438">
        <f>IF(A438="","",MONTH(A438))</f>
        <v/>
      </c>
    </row>
    <row r="439">
      <c r="A439" s="2" t="n"/>
      <c r="B439" s="3" t="n"/>
      <c r="C439" s="3" t="n"/>
      <c r="D439" s="3" t="n"/>
      <c r="E439" s="3" t="n"/>
      <c r="F439" s="3" t="n"/>
      <c r="G439">
        <f>IF(A439="","",MONTH(A439))</f>
        <v/>
      </c>
    </row>
    <row r="440">
      <c r="A440" s="2" t="n"/>
      <c r="B440" s="3" t="n"/>
      <c r="C440" s="3" t="n"/>
      <c r="D440" s="3" t="n"/>
      <c r="E440" s="3" t="n"/>
      <c r="F440" s="3" t="n"/>
      <c r="G440">
        <f>IF(A440="","",MONTH(A440))</f>
        <v/>
      </c>
    </row>
    <row r="441">
      <c r="A441" s="2" t="n"/>
      <c r="B441" s="3" t="n"/>
      <c r="C441" s="3" t="n"/>
      <c r="D441" s="3" t="n"/>
      <c r="E441" s="3" t="n"/>
      <c r="F441" s="3" t="n"/>
      <c r="G441">
        <f>IF(A441="","",MONTH(A441))</f>
        <v/>
      </c>
    </row>
    <row r="442">
      <c r="A442" s="2" t="n"/>
      <c r="B442" s="3" t="n"/>
      <c r="C442" s="3" t="n"/>
      <c r="D442" s="3" t="n"/>
      <c r="E442" s="3" t="n"/>
      <c r="F442" s="3" t="n"/>
      <c r="G442">
        <f>IF(A442="","",MONTH(A442))</f>
        <v/>
      </c>
    </row>
    <row r="443">
      <c r="A443" s="2" t="n"/>
      <c r="B443" s="3" t="n"/>
      <c r="C443" s="3" t="n"/>
      <c r="D443" s="3" t="n"/>
      <c r="E443" s="3" t="n"/>
      <c r="F443" s="3" t="n"/>
      <c r="G443">
        <f>IF(A443="","",MONTH(A443))</f>
        <v/>
      </c>
    </row>
    <row r="444">
      <c r="A444" s="2" t="n"/>
      <c r="B444" s="3" t="n"/>
      <c r="C444" s="3" t="n"/>
      <c r="D444" s="3" t="n"/>
      <c r="E444" s="3" t="n"/>
      <c r="F444" s="3" t="n"/>
      <c r="G444">
        <f>IF(A444="","",MONTH(A444))</f>
        <v/>
      </c>
    </row>
    <row r="445">
      <c r="A445" s="2" t="n"/>
      <c r="B445" s="3" t="n"/>
      <c r="C445" s="3" t="n"/>
      <c r="D445" s="3" t="n"/>
      <c r="E445" s="3" t="n"/>
      <c r="F445" s="3" t="n"/>
      <c r="G445">
        <f>IF(A445="","",MONTH(A445))</f>
        <v/>
      </c>
    </row>
    <row r="446">
      <c r="A446" s="2" t="n"/>
      <c r="B446" s="3" t="n"/>
      <c r="C446" s="3" t="n"/>
      <c r="D446" s="3" t="n"/>
      <c r="E446" s="3" t="n"/>
      <c r="F446" s="3" t="n"/>
      <c r="G446">
        <f>IF(A446="","",MONTH(A446))</f>
        <v/>
      </c>
    </row>
    <row r="447">
      <c r="A447" s="2" t="n"/>
      <c r="B447" s="3" t="n"/>
      <c r="C447" s="3" t="n"/>
      <c r="D447" s="3" t="n"/>
      <c r="E447" s="3" t="n"/>
      <c r="F447" s="3" t="n"/>
      <c r="G447">
        <f>IF(A447="","",MONTH(A447))</f>
        <v/>
      </c>
    </row>
    <row r="448">
      <c r="A448" s="2" t="n"/>
      <c r="B448" s="3" t="n"/>
      <c r="C448" s="3" t="n"/>
      <c r="D448" s="3" t="n"/>
      <c r="E448" s="3" t="n"/>
      <c r="F448" s="3" t="n"/>
      <c r="G448">
        <f>IF(A448="","",MONTH(A448))</f>
        <v/>
      </c>
    </row>
    <row r="449">
      <c r="A449" s="2" t="n"/>
      <c r="B449" s="3" t="n"/>
      <c r="C449" s="3" t="n"/>
      <c r="D449" s="3" t="n"/>
      <c r="E449" s="3" t="n"/>
      <c r="F449" s="3" t="n"/>
      <c r="G449">
        <f>IF(A449="","",MONTH(A449))</f>
        <v/>
      </c>
    </row>
    <row r="450">
      <c r="A450" s="2" t="n"/>
      <c r="B450" s="3" t="n"/>
      <c r="C450" s="3" t="n"/>
      <c r="D450" s="3" t="n"/>
      <c r="E450" s="3" t="n"/>
      <c r="F450" s="3" t="n"/>
      <c r="G450">
        <f>IF(A450="","",MONTH(A450))</f>
        <v/>
      </c>
    </row>
    <row r="451">
      <c r="A451" s="2" t="n"/>
      <c r="B451" s="3" t="n"/>
      <c r="C451" s="3" t="n"/>
      <c r="D451" s="3" t="n"/>
      <c r="E451" s="3" t="n"/>
      <c r="F451" s="3" t="n"/>
      <c r="G451">
        <f>IF(A451="","",MONTH(A451))</f>
        <v/>
      </c>
    </row>
    <row r="452">
      <c r="A452" s="2" t="n"/>
      <c r="B452" s="3" t="n"/>
      <c r="C452" s="3" t="n"/>
      <c r="D452" s="3" t="n"/>
      <c r="E452" s="3" t="n"/>
      <c r="F452" s="3" t="n"/>
      <c r="G452">
        <f>IF(A452="","",MONTH(A452))</f>
        <v/>
      </c>
    </row>
    <row r="453">
      <c r="A453" s="2" t="n"/>
      <c r="B453" s="3" t="n"/>
      <c r="C453" s="3" t="n"/>
      <c r="D453" s="3" t="n"/>
      <c r="E453" s="3" t="n"/>
      <c r="F453" s="3" t="n"/>
      <c r="G453">
        <f>IF(A453="","",MONTH(A453))</f>
        <v/>
      </c>
    </row>
    <row r="454">
      <c r="A454" s="2" t="n"/>
      <c r="B454" s="3" t="n"/>
      <c r="C454" s="3" t="n"/>
      <c r="D454" s="3" t="n"/>
      <c r="E454" s="3" t="n"/>
      <c r="F454" s="3" t="n"/>
      <c r="G454">
        <f>IF(A454="","",MONTH(A454))</f>
        <v/>
      </c>
    </row>
    <row r="455">
      <c r="A455" s="2" t="n"/>
      <c r="B455" s="3" t="n"/>
      <c r="C455" s="3" t="n"/>
      <c r="D455" s="3" t="n"/>
      <c r="E455" s="3" t="n"/>
      <c r="F455" s="3" t="n"/>
      <c r="G455">
        <f>IF(A455="","",MONTH(A455))</f>
        <v/>
      </c>
    </row>
    <row r="456">
      <c r="A456" s="2" t="n"/>
      <c r="B456" s="3" t="n"/>
      <c r="C456" s="3" t="n"/>
      <c r="D456" s="3" t="n"/>
      <c r="E456" s="3" t="n"/>
      <c r="F456" s="3" t="n"/>
      <c r="G456">
        <f>IF(A456="","",MONTH(A456))</f>
        <v/>
      </c>
    </row>
    <row r="457">
      <c r="A457" s="2" t="n"/>
      <c r="B457" s="3" t="n"/>
      <c r="C457" s="3" t="n"/>
      <c r="D457" s="3" t="n"/>
      <c r="E457" s="3" t="n"/>
      <c r="F457" s="3" t="n"/>
      <c r="G457">
        <f>IF(A457="","",MONTH(A457))</f>
        <v/>
      </c>
    </row>
    <row r="458">
      <c r="A458" s="2" t="n"/>
      <c r="B458" s="3" t="n"/>
      <c r="C458" s="3" t="n"/>
      <c r="D458" s="3" t="n"/>
      <c r="E458" s="3" t="n"/>
      <c r="F458" s="3" t="n"/>
      <c r="G458">
        <f>IF(A458="","",MONTH(A458))</f>
        <v/>
      </c>
    </row>
    <row r="459">
      <c r="A459" s="2" t="n"/>
      <c r="B459" s="3" t="n"/>
      <c r="C459" s="3" t="n"/>
      <c r="D459" s="3" t="n"/>
      <c r="E459" s="3" t="n"/>
      <c r="F459" s="3" t="n"/>
      <c r="G459">
        <f>IF(A459="","",MONTH(A459))</f>
        <v/>
      </c>
    </row>
    <row r="460">
      <c r="A460" s="2" t="n"/>
      <c r="B460" s="3" t="n"/>
      <c r="C460" s="3" t="n"/>
      <c r="D460" s="3" t="n"/>
      <c r="E460" s="3" t="n"/>
      <c r="F460" s="3" t="n"/>
      <c r="G460">
        <f>IF(A460="","",MONTH(A460))</f>
        <v/>
      </c>
    </row>
    <row r="461">
      <c r="A461" s="2" t="n"/>
      <c r="B461" s="3" t="n"/>
      <c r="C461" s="3" t="n"/>
      <c r="D461" s="3" t="n"/>
      <c r="E461" s="3" t="n"/>
      <c r="F461" s="3" t="n"/>
      <c r="G461">
        <f>IF(A461="","",MONTH(A461))</f>
        <v/>
      </c>
    </row>
    <row r="462">
      <c r="A462" s="2" t="n"/>
      <c r="B462" s="3" t="n"/>
      <c r="C462" s="3" t="n"/>
      <c r="D462" s="3" t="n"/>
      <c r="E462" s="3" t="n"/>
      <c r="F462" s="3" t="n"/>
      <c r="G462">
        <f>IF(A462="","",MONTH(A462))</f>
        <v/>
      </c>
    </row>
    <row r="463">
      <c r="A463" s="2" t="n"/>
      <c r="B463" s="3" t="n"/>
      <c r="C463" s="3" t="n"/>
      <c r="D463" s="3" t="n"/>
      <c r="E463" s="3" t="n"/>
      <c r="F463" s="3" t="n"/>
      <c r="G463">
        <f>IF(A463="","",MONTH(A463))</f>
        <v/>
      </c>
    </row>
    <row r="464">
      <c r="A464" s="2" t="n"/>
      <c r="B464" s="3" t="n"/>
      <c r="C464" s="3" t="n"/>
      <c r="D464" s="3" t="n"/>
      <c r="E464" s="3" t="n"/>
      <c r="F464" s="3" t="n"/>
      <c r="G464">
        <f>IF(A464="","",MONTH(A464))</f>
        <v/>
      </c>
    </row>
    <row r="465">
      <c r="A465" s="2" t="n"/>
      <c r="B465" s="3" t="n"/>
      <c r="C465" s="3" t="n"/>
      <c r="D465" s="3" t="n"/>
      <c r="E465" s="3" t="n"/>
      <c r="F465" s="3" t="n"/>
      <c r="G465">
        <f>IF(A465="","",MONTH(A465))</f>
        <v/>
      </c>
    </row>
    <row r="466">
      <c r="A466" s="2" t="n"/>
      <c r="B466" s="3" t="n"/>
      <c r="C466" s="3" t="n"/>
      <c r="D466" s="3" t="n"/>
      <c r="E466" s="3" t="n"/>
      <c r="F466" s="3" t="n"/>
      <c r="G466">
        <f>IF(A466="","",MONTH(A466))</f>
        <v/>
      </c>
    </row>
    <row r="467">
      <c r="A467" s="2" t="n"/>
      <c r="B467" s="3" t="n"/>
      <c r="C467" s="3" t="n"/>
      <c r="D467" s="3" t="n"/>
      <c r="E467" s="3" t="n"/>
      <c r="F467" s="3" t="n"/>
      <c r="G467">
        <f>IF(A467="","",MONTH(A467))</f>
        <v/>
      </c>
    </row>
    <row r="468">
      <c r="A468" s="2" t="n"/>
      <c r="B468" s="3" t="n"/>
      <c r="C468" s="3" t="n"/>
      <c r="D468" s="3" t="n"/>
      <c r="E468" s="3" t="n"/>
      <c r="F468" s="3" t="n"/>
      <c r="G468">
        <f>IF(A468="","",MONTH(A468))</f>
        <v/>
      </c>
    </row>
    <row r="469">
      <c r="A469" s="2" t="n"/>
      <c r="B469" s="3" t="n"/>
      <c r="C469" s="3" t="n"/>
      <c r="D469" s="3" t="n"/>
      <c r="E469" s="3" t="n"/>
      <c r="F469" s="3" t="n"/>
      <c r="G469">
        <f>IF(A469="","",MONTH(A469))</f>
        <v/>
      </c>
    </row>
    <row r="470">
      <c r="A470" s="2" t="n"/>
      <c r="B470" s="3" t="n"/>
      <c r="C470" s="3" t="n"/>
      <c r="D470" s="3" t="n"/>
      <c r="E470" s="3" t="n"/>
      <c r="F470" s="3" t="n"/>
      <c r="G470">
        <f>IF(A470="","",MONTH(A470))</f>
        <v/>
      </c>
    </row>
    <row r="471">
      <c r="A471" s="2" t="n"/>
      <c r="B471" s="3" t="n"/>
      <c r="C471" s="3" t="n"/>
      <c r="D471" s="3" t="n"/>
      <c r="E471" s="3" t="n"/>
      <c r="F471" s="3" t="n"/>
      <c r="G471">
        <f>IF(A471="","",MONTH(A471))</f>
        <v/>
      </c>
    </row>
    <row r="472">
      <c r="A472" s="2" t="n"/>
      <c r="B472" s="3" t="n"/>
      <c r="C472" s="3" t="n"/>
      <c r="D472" s="3" t="n"/>
      <c r="E472" s="3" t="n"/>
      <c r="F472" s="3" t="n"/>
      <c r="G472">
        <f>IF(A472="","",MONTH(A472))</f>
        <v/>
      </c>
    </row>
    <row r="473">
      <c r="A473" s="2" t="n"/>
      <c r="B473" s="3" t="n"/>
      <c r="C473" s="3" t="n"/>
      <c r="D473" s="3" t="n"/>
      <c r="E473" s="3" t="n"/>
      <c r="F473" s="3" t="n"/>
      <c r="G473">
        <f>IF(A473="","",MONTH(A473))</f>
        <v/>
      </c>
    </row>
    <row r="474">
      <c r="A474" s="2" t="n"/>
      <c r="B474" s="3" t="n"/>
      <c r="C474" s="3" t="n"/>
      <c r="D474" s="3" t="n"/>
      <c r="E474" s="3" t="n"/>
      <c r="F474" s="3" t="n"/>
      <c r="G474">
        <f>IF(A474="","",MONTH(A474))</f>
        <v/>
      </c>
    </row>
    <row r="475">
      <c r="A475" s="2" t="n"/>
      <c r="B475" s="3" t="n"/>
      <c r="C475" s="3" t="n"/>
      <c r="D475" s="3" t="n"/>
      <c r="E475" s="3" t="n"/>
      <c r="F475" s="3" t="n"/>
      <c r="G475">
        <f>IF(A475="","",MONTH(A475))</f>
        <v/>
      </c>
    </row>
    <row r="476">
      <c r="A476" s="2" t="n"/>
      <c r="B476" s="3" t="n"/>
      <c r="C476" s="3" t="n"/>
      <c r="D476" s="3" t="n"/>
      <c r="E476" s="3" t="n"/>
      <c r="F476" s="3" t="n"/>
      <c r="G476">
        <f>IF(A476="","",MONTH(A476))</f>
        <v/>
      </c>
    </row>
    <row r="477">
      <c r="A477" s="2" t="n"/>
      <c r="B477" s="3" t="n"/>
      <c r="C477" s="3" t="n"/>
      <c r="D477" s="3" t="n"/>
      <c r="E477" s="3" t="n"/>
      <c r="F477" s="3" t="n"/>
      <c r="G477">
        <f>IF(A477="","",MONTH(A477))</f>
        <v/>
      </c>
    </row>
    <row r="478">
      <c r="A478" s="2" t="n"/>
      <c r="B478" s="3" t="n"/>
      <c r="C478" s="3" t="n"/>
      <c r="D478" s="3" t="n"/>
      <c r="E478" s="3" t="n"/>
      <c r="F478" s="3" t="n"/>
      <c r="G478">
        <f>IF(A478="","",MONTH(A478))</f>
        <v/>
      </c>
    </row>
    <row r="479">
      <c r="A479" s="2" t="n"/>
      <c r="B479" s="3" t="n"/>
      <c r="C479" s="3" t="n"/>
      <c r="D479" s="3" t="n"/>
      <c r="E479" s="3" t="n"/>
      <c r="F479" s="3" t="n"/>
      <c r="G479">
        <f>IF(A479="","",MONTH(A479))</f>
        <v/>
      </c>
    </row>
    <row r="480">
      <c r="A480" s="2" t="n"/>
      <c r="B480" s="3" t="n"/>
      <c r="C480" s="3" t="n"/>
      <c r="D480" s="3" t="n"/>
      <c r="E480" s="3" t="n"/>
      <c r="F480" s="3" t="n"/>
      <c r="G480">
        <f>IF(A480="","",MONTH(A480))</f>
        <v/>
      </c>
    </row>
    <row r="481">
      <c r="A481" s="2" t="n"/>
      <c r="B481" s="3" t="n"/>
      <c r="C481" s="3" t="n"/>
      <c r="D481" s="3" t="n"/>
      <c r="E481" s="3" t="n"/>
      <c r="F481" s="3" t="n"/>
      <c r="G481">
        <f>IF(A481="","",MONTH(A481))</f>
        <v/>
      </c>
    </row>
    <row r="482">
      <c r="A482" s="2" t="n"/>
      <c r="B482" s="3" t="n"/>
      <c r="C482" s="3" t="n"/>
      <c r="D482" s="3" t="n"/>
      <c r="E482" s="3" t="n"/>
      <c r="F482" s="3" t="n"/>
      <c r="G482">
        <f>IF(A482="","",MONTH(A482))</f>
        <v/>
      </c>
    </row>
    <row r="483">
      <c r="A483" s="2" t="n"/>
      <c r="B483" s="3" t="n"/>
      <c r="C483" s="3" t="n"/>
      <c r="D483" s="3" t="n"/>
      <c r="E483" s="3" t="n"/>
      <c r="F483" s="3" t="n"/>
      <c r="G483">
        <f>IF(A483="","",MONTH(A483))</f>
        <v/>
      </c>
    </row>
    <row r="484">
      <c r="A484" s="2" t="n"/>
      <c r="B484" s="3" t="n"/>
      <c r="C484" s="3" t="n"/>
      <c r="D484" s="3" t="n"/>
      <c r="E484" s="3" t="n"/>
      <c r="F484" s="3" t="n"/>
      <c r="G484">
        <f>IF(A484="","",MONTH(A484))</f>
        <v/>
      </c>
    </row>
    <row r="485">
      <c r="A485" s="2" t="n"/>
      <c r="B485" s="3" t="n"/>
      <c r="C485" s="3" t="n"/>
      <c r="D485" s="3" t="n"/>
      <c r="E485" s="3" t="n"/>
      <c r="F485" s="3" t="n"/>
      <c r="G485">
        <f>IF(A485="","",MONTH(A485))</f>
        <v/>
      </c>
    </row>
    <row r="486">
      <c r="A486" s="2" t="n"/>
      <c r="B486" s="3" t="n"/>
      <c r="C486" s="3" t="n"/>
      <c r="D486" s="3" t="n"/>
      <c r="E486" s="3" t="n"/>
      <c r="F486" s="3" t="n"/>
      <c r="G486">
        <f>IF(A486="","",MONTH(A486))</f>
        <v/>
      </c>
    </row>
    <row r="487">
      <c r="A487" s="2" t="n"/>
      <c r="B487" s="3" t="n"/>
      <c r="C487" s="3" t="n"/>
      <c r="D487" s="3" t="n"/>
      <c r="E487" s="3" t="n"/>
      <c r="F487" s="3" t="n"/>
      <c r="G487">
        <f>IF(A487="","",MONTH(A487))</f>
        <v/>
      </c>
    </row>
    <row r="488">
      <c r="A488" s="2" t="n"/>
      <c r="B488" s="3" t="n"/>
      <c r="C488" s="3" t="n"/>
      <c r="D488" s="3" t="n"/>
      <c r="E488" s="3" t="n"/>
      <c r="F488" s="3" t="n"/>
      <c r="G488">
        <f>IF(A488="","",MONTH(A488))</f>
        <v/>
      </c>
    </row>
    <row r="489">
      <c r="A489" s="2" t="n"/>
      <c r="B489" s="3" t="n"/>
      <c r="C489" s="3" t="n"/>
      <c r="D489" s="3" t="n"/>
      <c r="E489" s="3" t="n"/>
      <c r="F489" s="3" t="n"/>
      <c r="G489">
        <f>IF(A489="","",MONTH(A489))</f>
        <v/>
      </c>
    </row>
    <row r="490">
      <c r="A490" s="2" t="n"/>
      <c r="B490" s="3" t="n"/>
      <c r="C490" s="3" t="n"/>
      <c r="D490" s="3" t="n"/>
      <c r="E490" s="3" t="n"/>
      <c r="F490" s="3" t="n"/>
      <c r="G490">
        <f>IF(A490="","",MONTH(A490))</f>
        <v/>
      </c>
    </row>
    <row r="491">
      <c r="A491" s="2" t="n"/>
      <c r="B491" s="3" t="n"/>
      <c r="C491" s="3" t="n"/>
      <c r="D491" s="3" t="n"/>
      <c r="E491" s="3" t="n"/>
      <c r="F491" s="3" t="n"/>
      <c r="G491">
        <f>IF(A491="","",MONTH(A491))</f>
        <v/>
      </c>
    </row>
    <row r="492">
      <c r="A492" s="2" t="n"/>
      <c r="B492" s="3" t="n"/>
      <c r="C492" s="3" t="n"/>
      <c r="D492" s="3" t="n"/>
      <c r="E492" s="3" t="n"/>
      <c r="F492" s="3" t="n"/>
      <c r="G492">
        <f>IF(A492="","",MONTH(A492))</f>
        <v/>
      </c>
    </row>
    <row r="493">
      <c r="A493" s="2" t="n"/>
      <c r="B493" s="3" t="n"/>
      <c r="C493" s="3" t="n"/>
      <c r="D493" s="3" t="n"/>
      <c r="E493" s="3" t="n"/>
      <c r="F493" s="3" t="n"/>
      <c r="G493">
        <f>IF(A493="","",MONTH(A493))</f>
        <v/>
      </c>
    </row>
    <row r="494">
      <c r="A494" s="2" t="n"/>
      <c r="B494" s="3" t="n"/>
      <c r="C494" s="3" t="n"/>
      <c r="D494" s="3" t="n"/>
      <c r="E494" s="3" t="n"/>
      <c r="F494" s="3" t="n"/>
      <c r="G494">
        <f>IF(A494="","",MONTH(A494))</f>
        <v/>
      </c>
    </row>
    <row r="495">
      <c r="A495" s="2" t="n"/>
      <c r="B495" s="3" t="n"/>
      <c r="C495" s="3" t="n"/>
      <c r="D495" s="3" t="n"/>
      <c r="E495" s="3" t="n"/>
      <c r="F495" s="3" t="n"/>
      <c r="G495">
        <f>IF(A495="","",MONTH(A495))</f>
        <v/>
      </c>
    </row>
    <row r="496">
      <c r="A496" s="2" t="n"/>
      <c r="B496" s="3" t="n"/>
      <c r="C496" s="3" t="n"/>
      <c r="D496" s="3" t="n"/>
      <c r="E496" s="3" t="n"/>
      <c r="F496" s="3" t="n"/>
      <c r="G496">
        <f>IF(A496="","",MONTH(A496))</f>
        <v/>
      </c>
    </row>
    <row r="497">
      <c r="A497" s="2" t="n"/>
      <c r="B497" s="3" t="n"/>
      <c r="C497" s="3" t="n"/>
      <c r="D497" s="3" t="n"/>
      <c r="E497" s="3" t="n"/>
      <c r="F497" s="3" t="n"/>
      <c r="G497">
        <f>IF(A497="","",MONTH(A497))</f>
        <v/>
      </c>
    </row>
    <row r="498">
      <c r="A498" s="2" t="n"/>
      <c r="B498" s="3" t="n"/>
      <c r="C498" s="3" t="n"/>
      <c r="D498" s="3" t="n"/>
      <c r="E498" s="3" t="n"/>
      <c r="F498" s="3" t="n"/>
      <c r="G498">
        <f>IF(A498="","",MONTH(A498))</f>
        <v/>
      </c>
    </row>
    <row r="499">
      <c r="A499" s="2" t="n"/>
      <c r="B499" s="3" t="n"/>
      <c r="C499" s="3" t="n"/>
      <c r="D499" s="3" t="n"/>
      <c r="E499" s="3" t="n"/>
      <c r="F499" s="3" t="n"/>
      <c r="G499">
        <f>IF(A499="","",MONTH(A499))</f>
        <v/>
      </c>
    </row>
    <row r="500">
      <c r="A500" s="2" t="n"/>
      <c r="B500" s="3" t="n"/>
      <c r="C500" s="3" t="n"/>
      <c r="D500" s="3" t="n"/>
      <c r="E500" s="3" t="n"/>
      <c r="F500" s="3" t="n"/>
      <c r="G500">
        <f>IF(A500="","",MONTH(A500))</f>
        <v/>
      </c>
    </row>
    <row r="501">
      <c r="A501" s="2" t="n"/>
      <c r="B501" s="3" t="n"/>
      <c r="C501" s="3" t="n"/>
      <c r="D501" s="3" t="n"/>
      <c r="E501" s="3" t="n"/>
      <c r="F501" s="3" t="n"/>
      <c r="G501">
        <f>IF(A501="","",MONTH(A501))</f>
        <v/>
      </c>
    </row>
  </sheetData>
  <autoFilter ref="A1:G501"/>
  <dataValidations count="5">
    <dataValidation sqref="B2:B501" showDropDown="0" showInputMessage="0" showErrorMessage="0" allowBlank="1" errorTitle="Valeur invalide" error="Choisir une valeur dans la liste." type="list">
      <formula1>=Liste_Personnes</formula1>
    </dataValidation>
    <dataValidation sqref="C2:C501" showDropDown="0" showInputMessage="0" showErrorMessage="0" allowBlank="1" errorTitle="Valeur invalide" error="Choisir une valeur dans la liste." type="list">
      <formula1>=Liste_Projets</formula1>
    </dataValidation>
    <dataValidation sqref="D2:D501" showDropDown="0" showInputMessage="0" showErrorMessage="0" allowBlank="1" errorTitle="Valeur invalide" error="Choisir une valeur dans la liste." type="list">
      <formula1>=Liste_Taches</formula1>
    </dataValidation>
    <dataValidation sqref="E2:E501" showDropDown="0" showInputMessage="0" showErrorMessage="0" allowBlank="0" type="decimal" operator="between">
      <formula1>0</formula1>
      <formula2>24</formula2>
    </dataValidation>
    <dataValidation sqref="A2:A501" showDropDown="0" showInputMessage="0" showErrorMessage="0" allowBlank="0" type="date" operator="greaterThan">
      <formula1>36526</formula1>
    </dataValidation>
  </dataValidations>
  <pageMargins left="0.5" right="0.5" top="1" bottom="1" header="0.5" footer="0.5"/>
  <pageSetup orientation="landscape" paperSize="9" fitToHeight="0" fitToWidth="1"/>
  <headerFooter>
    <oddHeader/>
    <oddFooter>&amp;C&amp;"Calibri"Page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s="4">
        <f>"Synthèse des heures — "&amp;Annee</f>
        <v/>
      </c>
    </row>
    <row r="3">
      <c r="A3" s="5" t="inlineStr">
        <is>
          <t>Heures par projet × mois</t>
        </is>
      </c>
    </row>
    <row r="4">
      <c r="A4" s="1" t="inlineStr">
        <is>
          <t>Projet</t>
        </is>
      </c>
      <c r="B4" s="1" t="inlineStr">
        <is>
          <t>Janv.</t>
        </is>
      </c>
      <c r="C4" s="1" t="inlineStr">
        <is>
          <t>Févr.</t>
        </is>
      </c>
      <c r="D4" s="1" t="inlineStr">
        <is>
          <t>Mars</t>
        </is>
      </c>
      <c r="E4" s="1" t="inlineStr">
        <is>
          <t>Avr.</t>
        </is>
      </c>
      <c r="F4" s="1" t="inlineStr">
        <is>
          <t>Mai</t>
        </is>
      </c>
      <c r="G4" s="1" t="inlineStr">
        <is>
          <t>Juin</t>
        </is>
      </c>
      <c r="H4" s="1" t="inlineStr">
        <is>
          <t>Juil.</t>
        </is>
      </c>
      <c r="I4" s="1" t="inlineStr">
        <is>
          <t>Août</t>
        </is>
      </c>
      <c r="J4" s="1" t="inlineStr">
        <is>
          <t>Sept.</t>
        </is>
      </c>
      <c r="K4" s="1" t="inlineStr">
        <is>
          <t>Oct.</t>
        </is>
      </c>
      <c r="L4" s="1" t="inlineStr">
        <is>
          <t>Nov.</t>
        </is>
      </c>
      <c r="M4" s="1" t="inlineStr">
        <is>
          <t>Déc.</t>
        </is>
      </c>
      <c r="N4" s="1" t="inlineStr">
        <is>
          <t>Total</t>
        </is>
      </c>
    </row>
    <row r="5">
      <c r="A5">
        <f>IF(INDEX(Liste_Projets,1)="","",INDEX(Liste_Projets,1))</f>
        <v/>
      </c>
      <c r="B5">
        <f>IF($A5="","",SUMIFS(Saisie!$E$2:$E$501,Saisie!$C$2:$C$501,$A5,Saisie!$A$2:$A$501,"&gt;="&amp;DATE(Annee,1,1),Saisie!$A$2:$A$501,"&lt;"&amp;DATE(Annee,2,1)))</f>
        <v/>
      </c>
      <c r="C5">
        <f>IF($A5="","",SUMIFS(Saisie!$E$2:$E$501,Saisie!$C$2:$C$501,$A5,Saisie!$A$2:$A$501,"&gt;="&amp;DATE(Annee,2,1),Saisie!$A$2:$A$501,"&lt;"&amp;DATE(Annee,3,1)))</f>
        <v/>
      </c>
      <c r="D5">
        <f>IF($A5="","",SUMIFS(Saisie!$E$2:$E$501,Saisie!$C$2:$C$501,$A5,Saisie!$A$2:$A$501,"&gt;="&amp;DATE(Annee,3,1),Saisie!$A$2:$A$501,"&lt;"&amp;DATE(Annee,4,1)))</f>
        <v/>
      </c>
      <c r="E5">
        <f>IF($A5="","",SUMIFS(Saisie!$E$2:$E$501,Saisie!$C$2:$C$501,$A5,Saisie!$A$2:$A$501,"&gt;="&amp;DATE(Annee,4,1),Saisie!$A$2:$A$501,"&lt;"&amp;DATE(Annee,5,1)))</f>
        <v/>
      </c>
      <c r="F5">
        <f>IF($A5="","",SUMIFS(Saisie!$E$2:$E$501,Saisie!$C$2:$C$501,$A5,Saisie!$A$2:$A$501,"&gt;="&amp;DATE(Annee,5,1),Saisie!$A$2:$A$501,"&lt;"&amp;DATE(Annee,6,1)))</f>
        <v/>
      </c>
      <c r="G5">
        <f>IF($A5="","",SUMIFS(Saisie!$E$2:$E$501,Saisie!$C$2:$C$501,$A5,Saisie!$A$2:$A$501,"&gt;="&amp;DATE(Annee,6,1),Saisie!$A$2:$A$501,"&lt;"&amp;DATE(Annee,7,1)))</f>
        <v/>
      </c>
      <c r="H5">
        <f>IF($A5="","",SUMIFS(Saisie!$E$2:$E$501,Saisie!$C$2:$C$501,$A5,Saisie!$A$2:$A$501,"&gt;="&amp;DATE(Annee,7,1),Saisie!$A$2:$A$501,"&lt;"&amp;DATE(Annee,8,1)))</f>
        <v/>
      </c>
      <c r="I5">
        <f>IF($A5="","",SUMIFS(Saisie!$E$2:$E$501,Saisie!$C$2:$C$501,$A5,Saisie!$A$2:$A$501,"&gt;="&amp;DATE(Annee,8,1),Saisie!$A$2:$A$501,"&lt;"&amp;DATE(Annee,9,1)))</f>
        <v/>
      </c>
      <c r="J5">
        <f>IF($A5="","",SUMIFS(Saisie!$E$2:$E$501,Saisie!$C$2:$C$501,$A5,Saisie!$A$2:$A$501,"&gt;="&amp;DATE(Annee,9,1),Saisie!$A$2:$A$501,"&lt;"&amp;DATE(Annee,10,1)))</f>
        <v/>
      </c>
      <c r="K5">
        <f>IF($A5="","",SUMIFS(Saisie!$E$2:$E$501,Saisie!$C$2:$C$501,$A5,Saisie!$A$2:$A$501,"&gt;="&amp;DATE(Annee,10,1),Saisie!$A$2:$A$501,"&lt;"&amp;DATE(Annee,11,1)))</f>
        <v/>
      </c>
      <c r="L5">
        <f>IF($A5="","",SUMIFS(Saisie!$E$2:$E$501,Saisie!$C$2:$C$501,$A5,Saisie!$A$2:$A$501,"&gt;="&amp;DATE(Annee,11,1),Saisie!$A$2:$A$501,"&lt;"&amp;DATE(Annee,12,1)))</f>
        <v/>
      </c>
      <c r="M5">
        <f>IF($A5="","",SUMIFS(Saisie!$E$2:$E$501,Saisie!$C$2:$C$501,$A5,Saisie!$A$2:$A$501,"&gt;="&amp;DATE(Annee,12,1),Saisie!$A$2:$A$501,"&lt;"&amp;DATE(Annee,13,1)))</f>
        <v/>
      </c>
      <c r="N5" s="5">
        <f>IF($A5="","",SUM(B5:M5))</f>
        <v/>
      </c>
    </row>
    <row r="6">
      <c r="A6">
        <f>IF(INDEX(Liste_Projets,2)="","",INDEX(Liste_Projets,2))</f>
        <v/>
      </c>
      <c r="B6">
        <f>IF($A6="","",SUMIFS(Saisie!$E$2:$E$501,Saisie!$C$2:$C$501,$A6,Saisie!$A$2:$A$501,"&gt;="&amp;DATE(Annee,1,1),Saisie!$A$2:$A$501,"&lt;"&amp;DATE(Annee,2,1)))</f>
        <v/>
      </c>
      <c r="C6">
        <f>IF($A6="","",SUMIFS(Saisie!$E$2:$E$501,Saisie!$C$2:$C$501,$A6,Saisie!$A$2:$A$501,"&gt;="&amp;DATE(Annee,2,1),Saisie!$A$2:$A$501,"&lt;"&amp;DATE(Annee,3,1)))</f>
        <v/>
      </c>
      <c r="D6">
        <f>IF($A6="","",SUMIFS(Saisie!$E$2:$E$501,Saisie!$C$2:$C$501,$A6,Saisie!$A$2:$A$501,"&gt;="&amp;DATE(Annee,3,1),Saisie!$A$2:$A$501,"&lt;"&amp;DATE(Annee,4,1)))</f>
        <v/>
      </c>
      <c r="E6">
        <f>IF($A6="","",SUMIFS(Saisie!$E$2:$E$501,Saisie!$C$2:$C$501,$A6,Saisie!$A$2:$A$501,"&gt;="&amp;DATE(Annee,4,1),Saisie!$A$2:$A$501,"&lt;"&amp;DATE(Annee,5,1)))</f>
        <v/>
      </c>
      <c r="F6">
        <f>IF($A6="","",SUMIFS(Saisie!$E$2:$E$501,Saisie!$C$2:$C$501,$A6,Saisie!$A$2:$A$501,"&gt;="&amp;DATE(Annee,5,1),Saisie!$A$2:$A$501,"&lt;"&amp;DATE(Annee,6,1)))</f>
        <v/>
      </c>
      <c r="G6">
        <f>IF($A6="","",SUMIFS(Saisie!$E$2:$E$501,Saisie!$C$2:$C$501,$A6,Saisie!$A$2:$A$501,"&gt;="&amp;DATE(Annee,6,1),Saisie!$A$2:$A$501,"&lt;"&amp;DATE(Annee,7,1)))</f>
        <v/>
      </c>
      <c r="H6">
        <f>IF($A6="","",SUMIFS(Saisie!$E$2:$E$501,Saisie!$C$2:$C$501,$A6,Saisie!$A$2:$A$501,"&gt;="&amp;DATE(Annee,7,1),Saisie!$A$2:$A$501,"&lt;"&amp;DATE(Annee,8,1)))</f>
        <v/>
      </c>
      <c r="I6">
        <f>IF($A6="","",SUMIFS(Saisie!$E$2:$E$501,Saisie!$C$2:$C$501,$A6,Saisie!$A$2:$A$501,"&gt;="&amp;DATE(Annee,8,1),Saisie!$A$2:$A$501,"&lt;"&amp;DATE(Annee,9,1)))</f>
        <v/>
      </c>
      <c r="J6">
        <f>IF($A6="","",SUMIFS(Saisie!$E$2:$E$501,Saisie!$C$2:$C$501,$A6,Saisie!$A$2:$A$501,"&gt;="&amp;DATE(Annee,9,1),Saisie!$A$2:$A$501,"&lt;"&amp;DATE(Annee,10,1)))</f>
        <v/>
      </c>
      <c r="K6">
        <f>IF($A6="","",SUMIFS(Saisie!$E$2:$E$501,Saisie!$C$2:$C$501,$A6,Saisie!$A$2:$A$501,"&gt;="&amp;DATE(Annee,10,1),Saisie!$A$2:$A$501,"&lt;"&amp;DATE(Annee,11,1)))</f>
        <v/>
      </c>
      <c r="L6">
        <f>IF($A6="","",SUMIFS(Saisie!$E$2:$E$501,Saisie!$C$2:$C$501,$A6,Saisie!$A$2:$A$501,"&gt;="&amp;DATE(Annee,11,1),Saisie!$A$2:$A$501,"&lt;"&amp;DATE(Annee,12,1)))</f>
        <v/>
      </c>
      <c r="M6">
        <f>IF($A6="","",SUMIFS(Saisie!$E$2:$E$501,Saisie!$C$2:$C$501,$A6,Saisie!$A$2:$A$501,"&gt;="&amp;DATE(Annee,12,1),Saisie!$A$2:$A$501,"&lt;"&amp;DATE(Annee,13,1)))</f>
        <v/>
      </c>
      <c r="N6" s="5">
        <f>IF($A6="","",SUM(B6:M6))</f>
        <v/>
      </c>
    </row>
    <row r="7">
      <c r="A7">
        <f>IF(INDEX(Liste_Projets,3)="","",INDEX(Liste_Projets,3))</f>
        <v/>
      </c>
      <c r="B7">
        <f>IF($A7="","",SUMIFS(Saisie!$E$2:$E$501,Saisie!$C$2:$C$501,$A7,Saisie!$A$2:$A$501,"&gt;="&amp;DATE(Annee,1,1),Saisie!$A$2:$A$501,"&lt;"&amp;DATE(Annee,2,1)))</f>
        <v/>
      </c>
      <c r="C7">
        <f>IF($A7="","",SUMIFS(Saisie!$E$2:$E$501,Saisie!$C$2:$C$501,$A7,Saisie!$A$2:$A$501,"&gt;="&amp;DATE(Annee,2,1),Saisie!$A$2:$A$501,"&lt;"&amp;DATE(Annee,3,1)))</f>
        <v/>
      </c>
      <c r="D7">
        <f>IF($A7="","",SUMIFS(Saisie!$E$2:$E$501,Saisie!$C$2:$C$501,$A7,Saisie!$A$2:$A$501,"&gt;="&amp;DATE(Annee,3,1),Saisie!$A$2:$A$501,"&lt;"&amp;DATE(Annee,4,1)))</f>
        <v/>
      </c>
      <c r="E7">
        <f>IF($A7="","",SUMIFS(Saisie!$E$2:$E$501,Saisie!$C$2:$C$501,$A7,Saisie!$A$2:$A$501,"&gt;="&amp;DATE(Annee,4,1),Saisie!$A$2:$A$501,"&lt;"&amp;DATE(Annee,5,1)))</f>
        <v/>
      </c>
      <c r="F7">
        <f>IF($A7="","",SUMIFS(Saisie!$E$2:$E$501,Saisie!$C$2:$C$501,$A7,Saisie!$A$2:$A$501,"&gt;="&amp;DATE(Annee,5,1),Saisie!$A$2:$A$501,"&lt;"&amp;DATE(Annee,6,1)))</f>
        <v/>
      </c>
      <c r="G7">
        <f>IF($A7="","",SUMIFS(Saisie!$E$2:$E$501,Saisie!$C$2:$C$501,$A7,Saisie!$A$2:$A$501,"&gt;="&amp;DATE(Annee,6,1),Saisie!$A$2:$A$501,"&lt;"&amp;DATE(Annee,7,1)))</f>
        <v/>
      </c>
      <c r="H7">
        <f>IF($A7="","",SUMIFS(Saisie!$E$2:$E$501,Saisie!$C$2:$C$501,$A7,Saisie!$A$2:$A$501,"&gt;="&amp;DATE(Annee,7,1),Saisie!$A$2:$A$501,"&lt;"&amp;DATE(Annee,8,1)))</f>
        <v/>
      </c>
      <c r="I7">
        <f>IF($A7="","",SUMIFS(Saisie!$E$2:$E$501,Saisie!$C$2:$C$501,$A7,Saisie!$A$2:$A$501,"&gt;="&amp;DATE(Annee,8,1),Saisie!$A$2:$A$501,"&lt;"&amp;DATE(Annee,9,1)))</f>
        <v/>
      </c>
      <c r="J7">
        <f>IF($A7="","",SUMIFS(Saisie!$E$2:$E$501,Saisie!$C$2:$C$501,$A7,Saisie!$A$2:$A$501,"&gt;="&amp;DATE(Annee,9,1),Saisie!$A$2:$A$501,"&lt;"&amp;DATE(Annee,10,1)))</f>
        <v/>
      </c>
      <c r="K7">
        <f>IF($A7="","",SUMIFS(Saisie!$E$2:$E$501,Saisie!$C$2:$C$501,$A7,Saisie!$A$2:$A$501,"&gt;="&amp;DATE(Annee,10,1),Saisie!$A$2:$A$501,"&lt;"&amp;DATE(Annee,11,1)))</f>
        <v/>
      </c>
      <c r="L7">
        <f>IF($A7="","",SUMIFS(Saisie!$E$2:$E$501,Saisie!$C$2:$C$501,$A7,Saisie!$A$2:$A$501,"&gt;="&amp;DATE(Annee,11,1),Saisie!$A$2:$A$501,"&lt;"&amp;DATE(Annee,12,1)))</f>
        <v/>
      </c>
      <c r="M7">
        <f>IF($A7="","",SUMIFS(Saisie!$E$2:$E$501,Saisie!$C$2:$C$501,$A7,Saisie!$A$2:$A$501,"&gt;="&amp;DATE(Annee,12,1),Saisie!$A$2:$A$501,"&lt;"&amp;DATE(Annee,13,1)))</f>
        <v/>
      </c>
      <c r="N7" s="5">
        <f>IF($A7="","",SUM(B7:M7))</f>
        <v/>
      </c>
    </row>
    <row r="8">
      <c r="A8">
        <f>IF(INDEX(Liste_Projets,4)="","",INDEX(Liste_Projets,4))</f>
        <v/>
      </c>
      <c r="B8">
        <f>IF($A8="","",SUMIFS(Saisie!$E$2:$E$501,Saisie!$C$2:$C$501,$A8,Saisie!$A$2:$A$501,"&gt;="&amp;DATE(Annee,1,1),Saisie!$A$2:$A$501,"&lt;"&amp;DATE(Annee,2,1)))</f>
        <v/>
      </c>
      <c r="C8">
        <f>IF($A8="","",SUMIFS(Saisie!$E$2:$E$501,Saisie!$C$2:$C$501,$A8,Saisie!$A$2:$A$501,"&gt;="&amp;DATE(Annee,2,1),Saisie!$A$2:$A$501,"&lt;"&amp;DATE(Annee,3,1)))</f>
        <v/>
      </c>
      <c r="D8">
        <f>IF($A8="","",SUMIFS(Saisie!$E$2:$E$501,Saisie!$C$2:$C$501,$A8,Saisie!$A$2:$A$501,"&gt;="&amp;DATE(Annee,3,1),Saisie!$A$2:$A$501,"&lt;"&amp;DATE(Annee,4,1)))</f>
        <v/>
      </c>
      <c r="E8">
        <f>IF($A8="","",SUMIFS(Saisie!$E$2:$E$501,Saisie!$C$2:$C$501,$A8,Saisie!$A$2:$A$501,"&gt;="&amp;DATE(Annee,4,1),Saisie!$A$2:$A$501,"&lt;"&amp;DATE(Annee,5,1)))</f>
        <v/>
      </c>
      <c r="F8">
        <f>IF($A8="","",SUMIFS(Saisie!$E$2:$E$501,Saisie!$C$2:$C$501,$A8,Saisie!$A$2:$A$501,"&gt;="&amp;DATE(Annee,5,1),Saisie!$A$2:$A$501,"&lt;"&amp;DATE(Annee,6,1)))</f>
        <v/>
      </c>
      <c r="G8">
        <f>IF($A8="","",SUMIFS(Saisie!$E$2:$E$501,Saisie!$C$2:$C$501,$A8,Saisie!$A$2:$A$501,"&gt;="&amp;DATE(Annee,6,1),Saisie!$A$2:$A$501,"&lt;"&amp;DATE(Annee,7,1)))</f>
        <v/>
      </c>
      <c r="H8">
        <f>IF($A8="","",SUMIFS(Saisie!$E$2:$E$501,Saisie!$C$2:$C$501,$A8,Saisie!$A$2:$A$501,"&gt;="&amp;DATE(Annee,7,1),Saisie!$A$2:$A$501,"&lt;"&amp;DATE(Annee,8,1)))</f>
        <v/>
      </c>
      <c r="I8">
        <f>IF($A8="","",SUMIFS(Saisie!$E$2:$E$501,Saisie!$C$2:$C$501,$A8,Saisie!$A$2:$A$501,"&gt;="&amp;DATE(Annee,8,1),Saisie!$A$2:$A$501,"&lt;"&amp;DATE(Annee,9,1)))</f>
        <v/>
      </c>
      <c r="J8">
        <f>IF($A8="","",SUMIFS(Saisie!$E$2:$E$501,Saisie!$C$2:$C$501,$A8,Saisie!$A$2:$A$501,"&gt;="&amp;DATE(Annee,9,1),Saisie!$A$2:$A$501,"&lt;"&amp;DATE(Annee,10,1)))</f>
        <v/>
      </c>
      <c r="K8">
        <f>IF($A8="","",SUMIFS(Saisie!$E$2:$E$501,Saisie!$C$2:$C$501,$A8,Saisie!$A$2:$A$501,"&gt;="&amp;DATE(Annee,10,1),Saisie!$A$2:$A$501,"&lt;"&amp;DATE(Annee,11,1)))</f>
        <v/>
      </c>
      <c r="L8">
        <f>IF($A8="","",SUMIFS(Saisie!$E$2:$E$501,Saisie!$C$2:$C$501,$A8,Saisie!$A$2:$A$501,"&gt;="&amp;DATE(Annee,11,1),Saisie!$A$2:$A$501,"&lt;"&amp;DATE(Annee,12,1)))</f>
        <v/>
      </c>
      <c r="M8">
        <f>IF($A8="","",SUMIFS(Saisie!$E$2:$E$501,Saisie!$C$2:$C$501,$A8,Saisie!$A$2:$A$501,"&gt;="&amp;DATE(Annee,12,1),Saisie!$A$2:$A$501,"&lt;"&amp;DATE(Annee,13,1)))</f>
        <v/>
      </c>
      <c r="N8" s="5">
        <f>IF($A8="","",SUM(B8:M8))</f>
        <v/>
      </c>
    </row>
    <row r="9">
      <c r="A9">
        <f>IF(INDEX(Liste_Projets,5)="","",INDEX(Liste_Projets,5))</f>
        <v/>
      </c>
      <c r="B9">
        <f>IF($A9="","",SUMIFS(Saisie!$E$2:$E$501,Saisie!$C$2:$C$501,$A9,Saisie!$A$2:$A$501,"&gt;="&amp;DATE(Annee,1,1),Saisie!$A$2:$A$501,"&lt;"&amp;DATE(Annee,2,1)))</f>
        <v/>
      </c>
      <c r="C9">
        <f>IF($A9="","",SUMIFS(Saisie!$E$2:$E$501,Saisie!$C$2:$C$501,$A9,Saisie!$A$2:$A$501,"&gt;="&amp;DATE(Annee,2,1),Saisie!$A$2:$A$501,"&lt;"&amp;DATE(Annee,3,1)))</f>
        <v/>
      </c>
      <c r="D9">
        <f>IF($A9="","",SUMIFS(Saisie!$E$2:$E$501,Saisie!$C$2:$C$501,$A9,Saisie!$A$2:$A$501,"&gt;="&amp;DATE(Annee,3,1),Saisie!$A$2:$A$501,"&lt;"&amp;DATE(Annee,4,1)))</f>
        <v/>
      </c>
      <c r="E9">
        <f>IF($A9="","",SUMIFS(Saisie!$E$2:$E$501,Saisie!$C$2:$C$501,$A9,Saisie!$A$2:$A$501,"&gt;="&amp;DATE(Annee,4,1),Saisie!$A$2:$A$501,"&lt;"&amp;DATE(Annee,5,1)))</f>
        <v/>
      </c>
      <c r="F9">
        <f>IF($A9="","",SUMIFS(Saisie!$E$2:$E$501,Saisie!$C$2:$C$501,$A9,Saisie!$A$2:$A$501,"&gt;="&amp;DATE(Annee,5,1),Saisie!$A$2:$A$501,"&lt;"&amp;DATE(Annee,6,1)))</f>
        <v/>
      </c>
      <c r="G9">
        <f>IF($A9="","",SUMIFS(Saisie!$E$2:$E$501,Saisie!$C$2:$C$501,$A9,Saisie!$A$2:$A$501,"&gt;="&amp;DATE(Annee,6,1),Saisie!$A$2:$A$501,"&lt;"&amp;DATE(Annee,7,1)))</f>
        <v/>
      </c>
      <c r="H9">
        <f>IF($A9="","",SUMIFS(Saisie!$E$2:$E$501,Saisie!$C$2:$C$501,$A9,Saisie!$A$2:$A$501,"&gt;="&amp;DATE(Annee,7,1),Saisie!$A$2:$A$501,"&lt;"&amp;DATE(Annee,8,1)))</f>
        <v/>
      </c>
      <c r="I9">
        <f>IF($A9="","",SUMIFS(Saisie!$E$2:$E$501,Saisie!$C$2:$C$501,$A9,Saisie!$A$2:$A$501,"&gt;="&amp;DATE(Annee,8,1),Saisie!$A$2:$A$501,"&lt;"&amp;DATE(Annee,9,1)))</f>
        <v/>
      </c>
      <c r="J9">
        <f>IF($A9="","",SUMIFS(Saisie!$E$2:$E$501,Saisie!$C$2:$C$501,$A9,Saisie!$A$2:$A$501,"&gt;="&amp;DATE(Annee,9,1),Saisie!$A$2:$A$501,"&lt;"&amp;DATE(Annee,10,1)))</f>
        <v/>
      </c>
      <c r="K9">
        <f>IF($A9="","",SUMIFS(Saisie!$E$2:$E$501,Saisie!$C$2:$C$501,$A9,Saisie!$A$2:$A$501,"&gt;="&amp;DATE(Annee,10,1),Saisie!$A$2:$A$501,"&lt;"&amp;DATE(Annee,11,1)))</f>
        <v/>
      </c>
      <c r="L9">
        <f>IF($A9="","",SUMIFS(Saisie!$E$2:$E$501,Saisie!$C$2:$C$501,$A9,Saisie!$A$2:$A$501,"&gt;="&amp;DATE(Annee,11,1),Saisie!$A$2:$A$501,"&lt;"&amp;DATE(Annee,12,1)))</f>
        <v/>
      </c>
      <c r="M9">
        <f>IF($A9="","",SUMIFS(Saisie!$E$2:$E$501,Saisie!$C$2:$C$501,$A9,Saisie!$A$2:$A$501,"&gt;="&amp;DATE(Annee,12,1),Saisie!$A$2:$A$501,"&lt;"&amp;DATE(Annee,13,1)))</f>
        <v/>
      </c>
      <c r="N9" s="5">
        <f>IF($A9="","",SUM(B9:M9))</f>
        <v/>
      </c>
    </row>
    <row r="10">
      <c r="A10">
        <f>IF(INDEX(Liste_Projets,6)="","",INDEX(Liste_Projets,6))</f>
        <v/>
      </c>
      <c r="B10">
        <f>IF($A10="","",SUMIFS(Saisie!$E$2:$E$501,Saisie!$C$2:$C$501,$A10,Saisie!$A$2:$A$501,"&gt;="&amp;DATE(Annee,1,1),Saisie!$A$2:$A$501,"&lt;"&amp;DATE(Annee,2,1)))</f>
        <v/>
      </c>
      <c r="C10">
        <f>IF($A10="","",SUMIFS(Saisie!$E$2:$E$501,Saisie!$C$2:$C$501,$A10,Saisie!$A$2:$A$501,"&gt;="&amp;DATE(Annee,2,1),Saisie!$A$2:$A$501,"&lt;"&amp;DATE(Annee,3,1)))</f>
        <v/>
      </c>
      <c r="D10">
        <f>IF($A10="","",SUMIFS(Saisie!$E$2:$E$501,Saisie!$C$2:$C$501,$A10,Saisie!$A$2:$A$501,"&gt;="&amp;DATE(Annee,3,1),Saisie!$A$2:$A$501,"&lt;"&amp;DATE(Annee,4,1)))</f>
        <v/>
      </c>
      <c r="E10">
        <f>IF($A10="","",SUMIFS(Saisie!$E$2:$E$501,Saisie!$C$2:$C$501,$A10,Saisie!$A$2:$A$501,"&gt;="&amp;DATE(Annee,4,1),Saisie!$A$2:$A$501,"&lt;"&amp;DATE(Annee,5,1)))</f>
        <v/>
      </c>
      <c r="F10">
        <f>IF($A10="","",SUMIFS(Saisie!$E$2:$E$501,Saisie!$C$2:$C$501,$A10,Saisie!$A$2:$A$501,"&gt;="&amp;DATE(Annee,5,1),Saisie!$A$2:$A$501,"&lt;"&amp;DATE(Annee,6,1)))</f>
        <v/>
      </c>
      <c r="G10">
        <f>IF($A10="","",SUMIFS(Saisie!$E$2:$E$501,Saisie!$C$2:$C$501,$A10,Saisie!$A$2:$A$501,"&gt;="&amp;DATE(Annee,6,1),Saisie!$A$2:$A$501,"&lt;"&amp;DATE(Annee,7,1)))</f>
        <v/>
      </c>
      <c r="H10">
        <f>IF($A10="","",SUMIFS(Saisie!$E$2:$E$501,Saisie!$C$2:$C$501,$A10,Saisie!$A$2:$A$501,"&gt;="&amp;DATE(Annee,7,1),Saisie!$A$2:$A$501,"&lt;"&amp;DATE(Annee,8,1)))</f>
        <v/>
      </c>
      <c r="I10">
        <f>IF($A10="","",SUMIFS(Saisie!$E$2:$E$501,Saisie!$C$2:$C$501,$A10,Saisie!$A$2:$A$501,"&gt;="&amp;DATE(Annee,8,1),Saisie!$A$2:$A$501,"&lt;"&amp;DATE(Annee,9,1)))</f>
        <v/>
      </c>
      <c r="J10">
        <f>IF($A10="","",SUMIFS(Saisie!$E$2:$E$501,Saisie!$C$2:$C$501,$A10,Saisie!$A$2:$A$501,"&gt;="&amp;DATE(Annee,9,1),Saisie!$A$2:$A$501,"&lt;"&amp;DATE(Annee,10,1)))</f>
        <v/>
      </c>
      <c r="K10">
        <f>IF($A10="","",SUMIFS(Saisie!$E$2:$E$501,Saisie!$C$2:$C$501,$A10,Saisie!$A$2:$A$501,"&gt;="&amp;DATE(Annee,10,1),Saisie!$A$2:$A$501,"&lt;"&amp;DATE(Annee,11,1)))</f>
        <v/>
      </c>
      <c r="L10">
        <f>IF($A10="","",SUMIFS(Saisie!$E$2:$E$501,Saisie!$C$2:$C$501,$A10,Saisie!$A$2:$A$501,"&gt;="&amp;DATE(Annee,11,1),Saisie!$A$2:$A$501,"&lt;"&amp;DATE(Annee,12,1)))</f>
        <v/>
      </c>
      <c r="M10">
        <f>IF($A10="","",SUMIFS(Saisie!$E$2:$E$501,Saisie!$C$2:$C$501,$A10,Saisie!$A$2:$A$501,"&gt;="&amp;DATE(Annee,12,1),Saisie!$A$2:$A$501,"&lt;"&amp;DATE(Annee,13,1)))</f>
        <v/>
      </c>
      <c r="N10" s="5">
        <f>IF($A10="","",SUM(B10:M10))</f>
        <v/>
      </c>
    </row>
    <row r="11">
      <c r="A11">
        <f>IF(INDEX(Liste_Projets,7)="","",INDEX(Liste_Projets,7))</f>
        <v/>
      </c>
      <c r="B11">
        <f>IF($A11="","",SUMIFS(Saisie!$E$2:$E$501,Saisie!$C$2:$C$501,$A11,Saisie!$A$2:$A$501,"&gt;="&amp;DATE(Annee,1,1),Saisie!$A$2:$A$501,"&lt;"&amp;DATE(Annee,2,1)))</f>
        <v/>
      </c>
      <c r="C11">
        <f>IF($A11="","",SUMIFS(Saisie!$E$2:$E$501,Saisie!$C$2:$C$501,$A11,Saisie!$A$2:$A$501,"&gt;="&amp;DATE(Annee,2,1),Saisie!$A$2:$A$501,"&lt;"&amp;DATE(Annee,3,1)))</f>
        <v/>
      </c>
      <c r="D11">
        <f>IF($A11="","",SUMIFS(Saisie!$E$2:$E$501,Saisie!$C$2:$C$501,$A11,Saisie!$A$2:$A$501,"&gt;="&amp;DATE(Annee,3,1),Saisie!$A$2:$A$501,"&lt;"&amp;DATE(Annee,4,1)))</f>
        <v/>
      </c>
      <c r="E11">
        <f>IF($A11="","",SUMIFS(Saisie!$E$2:$E$501,Saisie!$C$2:$C$501,$A11,Saisie!$A$2:$A$501,"&gt;="&amp;DATE(Annee,4,1),Saisie!$A$2:$A$501,"&lt;"&amp;DATE(Annee,5,1)))</f>
        <v/>
      </c>
      <c r="F11">
        <f>IF($A11="","",SUMIFS(Saisie!$E$2:$E$501,Saisie!$C$2:$C$501,$A11,Saisie!$A$2:$A$501,"&gt;="&amp;DATE(Annee,5,1),Saisie!$A$2:$A$501,"&lt;"&amp;DATE(Annee,6,1)))</f>
        <v/>
      </c>
      <c r="G11">
        <f>IF($A11="","",SUMIFS(Saisie!$E$2:$E$501,Saisie!$C$2:$C$501,$A11,Saisie!$A$2:$A$501,"&gt;="&amp;DATE(Annee,6,1),Saisie!$A$2:$A$501,"&lt;"&amp;DATE(Annee,7,1)))</f>
        <v/>
      </c>
      <c r="H11">
        <f>IF($A11="","",SUMIFS(Saisie!$E$2:$E$501,Saisie!$C$2:$C$501,$A11,Saisie!$A$2:$A$501,"&gt;="&amp;DATE(Annee,7,1),Saisie!$A$2:$A$501,"&lt;"&amp;DATE(Annee,8,1)))</f>
        <v/>
      </c>
      <c r="I11">
        <f>IF($A11="","",SUMIFS(Saisie!$E$2:$E$501,Saisie!$C$2:$C$501,$A11,Saisie!$A$2:$A$501,"&gt;="&amp;DATE(Annee,8,1),Saisie!$A$2:$A$501,"&lt;"&amp;DATE(Annee,9,1)))</f>
        <v/>
      </c>
      <c r="J11">
        <f>IF($A11="","",SUMIFS(Saisie!$E$2:$E$501,Saisie!$C$2:$C$501,$A11,Saisie!$A$2:$A$501,"&gt;="&amp;DATE(Annee,9,1),Saisie!$A$2:$A$501,"&lt;"&amp;DATE(Annee,10,1)))</f>
        <v/>
      </c>
      <c r="K11">
        <f>IF($A11="","",SUMIFS(Saisie!$E$2:$E$501,Saisie!$C$2:$C$501,$A11,Saisie!$A$2:$A$501,"&gt;="&amp;DATE(Annee,10,1),Saisie!$A$2:$A$501,"&lt;"&amp;DATE(Annee,11,1)))</f>
        <v/>
      </c>
      <c r="L11">
        <f>IF($A11="","",SUMIFS(Saisie!$E$2:$E$501,Saisie!$C$2:$C$501,$A11,Saisie!$A$2:$A$501,"&gt;="&amp;DATE(Annee,11,1),Saisie!$A$2:$A$501,"&lt;"&amp;DATE(Annee,12,1)))</f>
        <v/>
      </c>
      <c r="M11">
        <f>IF($A11="","",SUMIFS(Saisie!$E$2:$E$501,Saisie!$C$2:$C$501,$A11,Saisie!$A$2:$A$501,"&gt;="&amp;DATE(Annee,12,1),Saisie!$A$2:$A$501,"&lt;"&amp;DATE(Annee,13,1)))</f>
        <v/>
      </c>
      <c r="N11" s="5">
        <f>IF($A11="","",SUM(B11:M11))</f>
        <v/>
      </c>
    </row>
    <row r="12">
      <c r="A12">
        <f>IF(INDEX(Liste_Projets,8)="","",INDEX(Liste_Projets,8))</f>
        <v/>
      </c>
      <c r="B12">
        <f>IF($A12="","",SUMIFS(Saisie!$E$2:$E$501,Saisie!$C$2:$C$501,$A12,Saisie!$A$2:$A$501,"&gt;="&amp;DATE(Annee,1,1),Saisie!$A$2:$A$501,"&lt;"&amp;DATE(Annee,2,1)))</f>
        <v/>
      </c>
      <c r="C12">
        <f>IF($A12="","",SUMIFS(Saisie!$E$2:$E$501,Saisie!$C$2:$C$501,$A12,Saisie!$A$2:$A$501,"&gt;="&amp;DATE(Annee,2,1),Saisie!$A$2:$A$501,"&lt;"&amp;DATE(Annee,3,1)))</f>
        <v/>
      </c>
      <c r="D12">
        <f>IF($A12="","",SUMIFS(Saisie!$E$2:$E$501,Saisie!$C$2:$C$501,$A12,Saisie!$A$2:$A$501,"&gt;="&amp;DATE(Annee,3,1),Saisie!$A$2:$A$501,"&lt;"&amp;DATE(Annee,4,1)))</f>
        <v/>
      </c>
      <c r="E12">
        <f>IF($A12="","",SUMIFS(Saisie!$E$2:$E$501,Saisie!$C$2:$C$501,$A12,Saisie!$A$2:$A$501,"&gt;="&amp;DATE(Annee,4,1),Saisie!$A$2:$A$501,"&lt;"&amp;DATE(Annee,5,1)))</f>
        <v/>
      </c>
      <c r="F12">
        <f>IF($A12="","",SUMIFS(Saisie!$E$2:$E$501,Saisie!$C$2:$C$501,$A12,Saisie!$A$2:$A$501,"&gt;="&amp;DATE(Annee,5,1),Saisie!$A$2:$A$501,"&lt;"&amp;DATE(Annee,6,1)))</f>
        <v/>
      </c>
      <c r="G12">
        <f>IF($A12="","",SUMIFS(Saisie!$E$2:$E$501,Saisie!$C$2:$C$501,$A12,Saisie!$A$2:$A$501,"&gt;="&amp;DATE(Annee,6,1),Saisie!$A$2:$A$501,"&lt;"&amp;DATE(Annee,7,1)))</f>
        <v/>
      </c>
      <c r="H12">
        <f>IF($A12="","",SUMIFS(Saisie!$E$2:$E$501,Saisie!$C$2:$C$501,$A12,Saisie!$A$2:$A$501,"&gt;="&amp;DATE(Annee,7,1),Saisie!$A$2:$A$501,"&lt;"&amp;DATE(Annee,8,1)))</f>
        <v/>
      </c>
      <c r="I12">
        <f>IF($A12="","",SUMIFS(Saisie!$E$2:$E$501,Saisie!$C$2:$C$501,$A12,Saisie!$A$2:$A$501,"&gt;="&amp;DATE(Annee,8,1),Saisie!$A$2:$A$501,"&lt;"&amp;DATE(Annee,9,1)))</f>
        <v/>
      </c>
      <c r="J12">
        <f>IF($A12="","",SUMIFS(Saisie!$E$2:$E$501,Saisie!$C$2:$C$501,$A12,Saisie!$A$2:$A$501,"&gt;="&amp;DATE(Annee,9,1),Saisie!$A$2:$A$501,"&lt;"&amp;DATE(Annee,10,1)))</f>
        <v/>
      </c>
      <c r="K12">
        <f>IF($A12="","",SUMIFS(Saisie!$E$2:$E$501,Saisie!$C$2:$C$501,$A12,Saisie!$A$2:$A$501,"&gt;="&amp;DATE(Annee,10,1),Saisie!$A$2:$A$501,"&lt;"&amp;DATE(Annee,11,1)))</f>
        <v/>
      </c>
      <c r="L12">
        <f>IF($A12="","",SUMIFS(Saisie!$E$2:$E$501,Saisie!$C$2:$C$501,$A12,Saisie!$A$2:$A$501,"&gt;="&amp;DATE(Annee,11,1),Saisie!$A$2:$A$501,"&lt;"&amp;DATE(Annee,12,1)))</f>
        <v/>
      </c>
      <c r="M12">
        <f>IF($A12="","",SUMIFS(Saisie!$E$2:$E$501,Saisie!$C$2:$C$501,$A12,Saisie!$A$2:$A$501,"&gt;="&amp;DATE(Annee,12,1),Saisie!$A$2:$A$501,"&lt;"&amp;DATE(Annee,13,1)))</f>
        <v/>
      </c>
      <c r="N12" s="5">
        <f>IF($A12="","",SUM(B12:M12))</f>
        <v/>
      </c>
    </row>
    <row r="13">
      <c r="A13">
        <f>IF(INDEX(Liste_Projets,9)="","",INDEX(Liste_Projets,9))</f>
        <v/>
      </c>
      <c r="B13">
        <f>IF($A13="","",SUMIFS(Saisie!$E$2:$E$501,Saisie!$C$2:$C$501,$A13,Saisie!$A$2:$A$501,"&gt;="&amp;DATE(Annee,1,1),Saisie!$A$2:$A$501,"&lt;"&amp;DATE(Annee,2,1)))</f>
        <v/>
      </c>
      <c r="C13">
        <f>IF($A13="","",SUMIFS(Saisie!$E$2:$E$501,Saisie!$C$2:$C$501,$A13,Saisie!$A$2:$A$501,"&gt;="&amp;DATE(Annee,2,1),Saisie!$A$2:$A$501,"&lt;"&amp;DATE(Annee,3,1)))</f>
        <v/>
      </c>
      <c r="D13">
        <f>IF($A13="","",SUMIFS(Saisie!$E$2:$E$501,Saisie!$C$2:$C$501,$A13,Saisie!$A$2:$A$501,"&gt;="&amp;DATE(Annee,3,1),Saisie!$A$2:$A$501,"&lt;"&amp;DATE(Annee,4,1)))</f>
        <v/>
      </c>
      <c r="E13">
        <f>IF($A13="","",SUMIFS(Saisie!$E$2:$E$501,Saisie!$C$2:$C$501,$A13,Saisie!$A$2:$A$501,"&gt;="&amp;DATE(Annee,4,1),Saisie!$A$2:$A$501,"&lt;"&amp;DATE(Annee,5,1)))</f>
        <v/>
      </c>
      <c r="F13">
        <f>IF($A13="","",SUMIFS(Saisie!$E$2:$E$501,Saisie!$C$2:$C$501,$A13,Saisie!$A$2:$A$501,"&gt;="&amp;DATE(Annee,5,1),Saisie!$A$2:$A$501,"&lt;"&amp;DATE(Annee,6,1)))</f>
        <v/>
      </c>
      <c r="G13">
        <f>IF($A13="","",SUMIFS(Saisie!$E$2:$E$501,Saisie!$C$2:$C$501,$A13,Saisie!$A$2:$A$501,"&gt;="&amp;DATE(Annee,6,1),Saisie!$A$2:$A$501,"&lt;"&amp;DATE(Annee,7,1)))</f>
        <v/>
      </c>
      <c r="H13">
        <f>IF($A13="","",SUMIFS(Saisie!$E$2:$E$501,Saisie!$C$2:$C$501,$A13,Saisie!$A$2:$A$501,"&gt;="&amp;DATE(Annee,7,1),Saisie!$A$2:$A$501,"&lt;"&amp;DATE(Annee,8,1)))</f>
        <v/>
      </c>
      <c r="I13">
        <f>IF($A13="","",SUMIFS(Saisie!$E$2:$E$501,Saisie!$C$2:$C$501,$A13,Saisie!$A$2:$A$501,"&gt;="&amp;DATE(Annee,8,1),Saisie!$A$2:$A$501,"&lt;"&amp;DATE(Annee,9,1)))</f>
        <v/>
      </c>
      <c r="J13">
        <f>IF($A13="","",SUMIFS(Saisie!$E$2:$E$501,Saisie!$C$2:$C$501,$A13,Saisie!$A$2:$A$501,"&gt;="&amp;DATE(Annee,9,1),Saisie!$A$2:$A$501,"&lt;"&amp;DATE(Annee,10,1)))</f>
        <v/>
      </c>
      <c r="K13">
        <f>IF($A13="","",SUMIFS(Saisie!$E$2:$E$501,Saisie!$C$2:$C$501,$A13,Saisie!$A$2:$A$501,"&gt;="&amp;DATE(Annee,10,1),Saisie!$A$2:$A$501,"&lt;"&amp;DATE(Annee,11,1)))</f>
        <v/>
      </c>
      <c r="L13">
        <f>IF($A13="","",SUMIFS(Saisie!$E$2:$E$501,Saisie!$C$2:$C$501,$A13,Saisie!$A$2:$A$501,"&gt;="&amp;DATE(Annee,11,1),Saisie!$A$2:$A$501,"&lt;"&amp;DATE(Annee,12,1)))</f>
        <v/>
      </c>
      <c r="M13">
        <f>IF($A13="","",SUMIFS(Saisie!$E$2:$E$501,Saisie!$C$2:$C$501,$A13,Saisie!$A$2:$A$501,"&gt;="&amp;DATE(Annee,12,1),Saisie!$A$2:$A$501,"&lt;"&amp;DATE(Annee,13,1)))</f>
        <v/>
      </c>
      <c r="N13" s="5">
        <f>IF($A13="","",SUM(B13:M13))</f>
        <v/>
      </c>
    </row>
    <row r="14">
      <c r="A14">
        <f>IF(INDEX(Liste_Projets,10)="","",INDEX(Liste_Projets,10))</f>
        <v/>
      </c>
      <c r="B14">
        <f>IF($A14="","",SUMIFS(Saisie!$E$2:$E$501,Saisie!$C$2:$C$501,$A14,Saisie!$A$2:$A$501,"&gt;="&amp;DATE(Annee,1,1),Saisie!$A$2:$A$501,"&lt;"&amp;DATE(Annee,2,1)))</f>
        <v/>
      </c>
      <c r="C14">
        <f>IF($A14="","",SUMIFS(Saisie!$E$2:$E$501,Saisie!$C$2:$C$501,$A14,Saisie!$A$2:$A$501,"&gt;="&amp;DATE(Annee,2,1),Saisie!$A$2:$A$501,"&lt;"&amp;DATE(Annee,3,1)))</f>
        <v/>
      </c>
      <c r="D14">
        <f>IF($A14="","",SUMIFS(Saisie!$E$2:$E$501,Saisie!$C$2:$C$501,$A14,Saisie!$A$2:$A$501,"&gt;="&amp;DATE(Annee,3,1),Saisie!$A$2:$A$501,"&lt;"&amp;DATE(Annee,4,1)))</f>
        <v/>
      </c>
      <c r="E14">
        <f>IF($A14="","",SUMIFS(Saisie!$E$2:$E$501,Saisie!$C$2:$C$501,$A14,Saisie!$A$2:$A$501,"&gt;="&amp;DATE(Annee,4,1),Saisie!$A$2:$A$501,"&lt;"&amp;DATE(Annee,5,1)))</f>
        <v/>
      </c>
      <c r="F14">
        <f>IF($A14="","",SUMIFS(Saisie!$E$2:$E$501,Saisie!$C$2:$C$501,$A14,Saisie!$A$2:$A$501,"&gt;="&amp;DATE(Annee,5,1),Saisie!$A$2:$A$501,"&lt;"&amp;DATE(Annee,6,1)))</f>
        <v/>
      </c>
      <c r="G14">
        <f>IF($A14="","",SUMIFS(Saisie!$E$2:$E$501,Saisie!$C$2:$C$501,$A14,Saisie!$A$2:$A$501,"&gt;="&amp;DATE(Annee,6,1),Saisie!$A$2:$A$501,"&lt;"&amp;DATE(Annee,7,1)))</f>
        <v/>
      </c>
      <c r="H14">
        <f>IF($A14="","",SUMIFS(Saisie!$E$2:$E$501,Saisie!$C$2:$C$501,$A14,Saisie!$A$2:$A$501,"&gt;="&amp;DATE(Annee,7,1),Saisie!$A$2:$A$501,"&lt;"&amp;DATE(Annee,8,1)))</f>
        <v/>
      </c>
      <c r="I14">
        <f>IF($A14="","",SUMIFS(Saisie!$E$2:$E$501,Saisie!$C$2:$C$501,$A14,Saisie!$A$2:$A$501,"&gt;="&amp;DATE(Annee,8,1),Saisie!$A$2:$A$501,"&lt;"&amp;DATE(Annee,9,1)))</f>
        <v/>
      </c>
      <c r="J14">
        <f>IF($A14="","",SUMIFS(Saisie!$E$2:$E$501,Saisie!$C$2:$C$501,$A14,Saisie!$A$2:$A$501,"&gt;="&amp;DATE(Annee,9,1),Saisie!$A$2:$A$501,"&lt;"&amp;DATE(Annee,10,1)))</f>
        <v/>
      </c>
      <c r="K14">
        <f>IF($A14="","",SUMIFS(Saisie!$E$2:$E$501,Saisie!$C$2:$C$501,$A14,Saisie!$A$2:$A$501,"&gt;="&amp;DATE(Annee,10,1),Saisie!$A$2:$A$501,"&lt;"&amp;DATE(Annee,11,1)))</f>
        <v/>
      </c>
      <c r="L14">
        <f>IF($A14="","",SUMIFS(Saisie!$E$2:$E$501,Saisie!$C$2:$C$501,$A14,Saisie!$A$2:$A$501,"&gt;="&amp;DATE(Annee,11,1),Saisie!$A$2:$A$501,"&lt;"&amp;DATE(Annee,12,1)))</f>
        <v/>
      </c>
      <c r="M14">
        <f>IF($A14="","",SUMIFS(Saisie!$E$2:$E$501,Saisie!$C$2:$C$501,$A14,Saisie!$A$2:$A$501,"&gt;="&amp;DATE(Annee,12,1),Saisie!$A$2:$A$501,"&lt;"&amp;DATE(Annee,13,1)))</f>
        <v/>
      </c>
      <c r="N14" s="5">
        <f>IF($A14="","",SUM(B14:M14))</f>
        <v/>
      </c>
    </row>
    <row r="15">
      <c r="A15">
        <f>IF(INDEX(Liste_Projets,11)="","",INDEX(Liste_Projets,11))</f>
        <v/>
      </c>
      <c r="B15">
        <f>IF($A15="","",SUMIFS(Saisie!$E$2:$E$501,Saisie!$C$2:$C$501,$A15,Saisie!$A$2:$A$501,"&gt;="&amp;DATE(Annee,1,1),Saisie!$A$2:$A$501,"&lt;"&amp;DATE(Annee,2,1)))</f>
        <v/>
      </c>
      <c r="C15">
        <f>IF($A15="","",SUMIFS(Saisie!$E$2:$E$501,Saisie!$C$2:$C$501,$A15,Saisie!$A$2:$A$501,"&gt;="&amp;DATE(Annee,2,1),Saisie!$A$2:$A$501,"&lt;"&amp;DATE(Annee,3,1)))</f>
        <v/>
      </c>
      <c r="D15">
        <f>IF($A15="","",SUMIFS(Saisie!$E$2:$E$501,Saisie!$C$2:$C$501,$A15,Saisie!$A$2:$A$501,"&gt;="&amp;DATE(Annee,3,1),Saisie!$A$2:$A$501,"&lt;"&amp;DATE(Annee,4,1)))</f>
        <v/>
      </c>
      <c r="E15">
        <f>IF($A15="","",SUMIFS(Saisie!$E$2:$E$501,Saisie!$C$2:$C$501,$A15,Saisie!$A$2:$A$501,"&gt;="&amp;DATE(Annee,4,1),Saisie!$A$2:$A$501,"&lt;"&amp;DATE(Annee,5,1)))</f>
        <v/>
      </c>
      <c r="F15">
        <f>IF($A15="","",SUMIFS(Saisie!$E$2:$E$501,Saisie!$C$2:$C$501,$A15,Saisie!$A$2:$A$501,"&gt;="&amp;DATE(Annee,5,1),Saisie!$A$2:$A$501,"&lt;"&amp;DATE(Annee,6,1)))</f>
        <v/>
      </c>
      <c r="G15">
        <f>IF($A15="","",SUMIFS(Saisie!$E$2:$E$501,Saisie!$C$2:$C$501,$A15,Saisie!$A$2:$A$501,"&gt;="&amp;DATE(Annee,6,1),Saisie!$A$2:$A$501,"&lt;"&amp;DATE(Annee,7,1)))</f>
        <v/>
      </c>
      <c r="H15">
        <f>IF($A15="","",SUMIFS(Saisie!$E$2:$E$501,Saisie!$C$2:$C$501,$A15,Saisie!$A$2:$A$501,"&gt;="&amp;DATE(Annee,7,1),Saisie!$A$2:$A$501,"&lt;"&amp;DATE(Annee,8,1)))</f>
        <v/>
      </c>
      <c r="I15">
        <f>IF($A15="","",SUMIFS(Saisie!$E$2:$E$501,Saisie!$C$2:$C$501,$A15,Saisie!$A$2:$A$501,"&gt;="&amp;DATE(Annee,8,1),Saisie!$A$2:$A$501,"&lt;"&amp;DATE(Annee,9,1)))</f>
        <v/>
      </c>
      <c r="J15">
        <f>IF($A15="","",SUMIFS(Saisie!$E$2:$E$501,Saisie!$C$2:$C$501,$A15,Saisie!$A$2:$A$501,"&gt;="&amp;DATE(Annee,9,1),Saisie!$A$2:$A$501,"&lt;"&amp;DATE(Annee,10,1)))</f>
        <v/>
      </c>
      <c r="K15">
        <f>IF($A15="","",SUMIFS(Saisie!$E$2:$E$501,Saisie!$C$2:$C$501,$A15,Saisie!$A$2:$A$501,"&gt;="&amp;DATE(Annee,10,1),Saisie!$A$2:$A$501,"&lt;"&amp;DATE(Annee,11,1)))</f>
        <v/>
      </c>
      <c r="L15">
        <f>IF($A15="","",SUMIFS(Saisie!$E$2:$E$501,Saisie!$C$2:$C$501,$A15,Saisie!$A$2:$A$501,"&gt;="&amp;DATE(Annee,11,1),Saisie!$A$2:$A$501,"&lt;"&amp;DATE(Annee,12,1)))</f>
        <v/>
      </c>
      <c r="M15">
        <f>IF($A15="","",SUMIFS(Saisie!$E$2:$E$501,Saisie!$C$2:$C$501,$A15,Saisie!$A$2:$A$501,"&gt;="&amp;DATE(Annee,12,1),Saisie!$A$2:$A$501,"&lt;"&amp;DATE(Annee,13,1)))</f>
        <v/>
      </c>
      <c r="N15" s="5">
        <f>IF($A15="","",SUM(B15:M15))</f>
        <v/>
      </c>
    </row>
    <row r="16">
      <c r="A16">
        <f>IF(INDEX(Liste_Projets,12)="","",INDEX(Liste_Projets,12))</f>
        <v/>
      </c>
      <c r="B16">
        <f>IF($A16="","",SUMIFS(Saisie!$E$2:$E$501,Saisie!$C$2:$C$501,$A16,Saisie!$A$2:$A$501,"&gt;="&amp;DATE(Annee,1,1),Saisie!$A$2:$A$501,"&lt;"&amp;DATE(Annee,2,1)))</f>
        <v/>
      </c>
      <c r="C16">
        <f>IF($A16="","",SUMIFS(Saisie!$E$2:$E$501,Saisie!$C$2:$C$501,$A16,Saisie!$A$2:$A$501,"&gt;="&amp;DATE(Annee,2,1),Saisie!$A$2:$A$501,"&lt;"&amp;DATE(Annee,3,1)))</f>
        <v/>
      </c>
      <c r="D16">
        <f>IF($A16="","",SUMIFS(Saisie!$E$2:$E$501,Saisie!$C$2:$C$501,$A16,Saisie!$A$2:$A$501,"&gt;="&amp;DATE(Annee,3,1),Saisie!$A$2:$A$501,"&lt;"&amp;DATE(Annee,4,1)))</f>
        <v/>
      </c>
      <c r="E16">
        <f>IF($A16="","",SUMIFS(Saisie!$E$2:$E$501,Saisie!$C$2:$C$501,$A16,Saisie!$A$2:$A$501,"&gt;="&amp;DATE(Annee,4,1),Saisie!$A$2:$A$501,"&lt;"&amp;DATE(Annee,5,1)))</f>
        <v/>
      </c>
      <c r="F16">
        <f>IF($A16="","",SUMIFS(Saisie!$E$2:$E$501,Saisie!$C$2:$C$501,$A16,Saisie!$A$2:$A$501,"&gt;="&amp;DATE(Annee,5,1),Saisie!$A$2:$A$501,"&lt;"&amp;DATE(Annee,6,1)))</f>
        <v/>
      </c>
      <c r="G16">
        <f>IF($A16="","",SUMIFS(Saisie!$E$2:$E$501,Saisie!$C$2:$C$501,$A16,Saisie!$A$2:$A$501,"&gt;="&amp;DATE(Annee,6,1),Saisie!$A$2:$A$501,"&lt;"&amp;DATE(Annee,7,1)))</f>
        <v/>
      </c>
      <c r="H16">
        <f>IF($A16="","",SUMIFS(Saisie!$E$2:$E$501,Saisie!$C$2:$C$501,$A16,Saisie!$A$2:$A$501,"&gt;="&amp;DATE(Annee,7,1),Saisie!$A$2:$A$501,"&lt;"&amp;DATE(Annee,8,1)))</f>
        <v/>
      </c>
      <c r="I16">
        <f>IF($A16="","",SUMIFS(Saisie!$E$2:$E$501,Saisie!$C$2:$C$501,$A16,Saisie!$A$2:$A$501,"&gt;="&amp;DATE(Annee,8,1),Saisie!$A$2:$A$501,"&lt;"&amp;DATE(Annee,9,1)))</f>
        <v/>
      </c>
      <c r="J16">
        <f>IF($A16="","",SUMIFS(Saisie!$E$2:$E$501,Saisie!$C$2:$C$501,$A16,Saisie!$A$2:$A$501,"&gt;="&amp;DATE(Annee,9,1),Saisie!$A$2:$A$501,"&lt;"&amp;DATE(Annee,10,1)))</f>
        <v/>
      </c>
      <c r="K16">
        <f>IF($A16="","",SUMIFS(Saisie!$E$2:$E$501,Saisie!$C$2:$C$501,$A16,Saisie!$A$2:$A$501,"&gt;="&amp;DATE(Annee,10,1),Saisie!$A$2:$A$501,"&lt;"&amp;DATE(Annee,11,1)))</f>
        <v/>
      </c>
      <c r="L16">
        <f>IF($A16="","",SUMIFS(Saisie!$E$2:$E$501,Saisie!$C$2:$C$501,$A16,Saisie!$A$2:$A$501,"&gt;="&amp;DATE(Annee,11,1),Saisie!$A$2:$A$501,"&lt;"&amp;DATE(Annee,12,1)))</f>
        <v/>
      </c>
      <c r="M16">
        <f>IF($A16="","",SUMIFS(Saisie!$E$2:$E$501,Saisie!$C$2:$C$501,$A16,Saisie!$A$2:$A$501,"&gt;="&amp;DATE(Annee,12,1),Saisie!$A$2:$A$501,"&lt;"&amp;DATE(Annee,13,1)))</f>
        <v/>
      </c>
      <c r="N16" s="5">
        <f>IF($A16="","",SUM(B16:M16))</f>
        <v/>
      </c>
    </row>
    <row r="17">
      <c r="A17">
        <f>IF(INDEX(Liste_Projets,13)="","",INDEX(Liste_Projets,13))</f>
        <v/>
      </c>
      <c r="B17">
        <f>IF($A17="","",SUMIFS(Saisie!$E$2:$E$501,Saisie!$C$2:$C$501,$A17,Saisie!$A$2:$A$501,"&gt;="&amp;DATE(Annee,1,1),Saisie!$A$2:$A$501,"&lt;"&amp;DATE(Annee,2,1)))</f>
        <v/>
      </c>
      <c r="C17">
        <f>IF($A17="","",SUMIFS(Saisie!$E$2:$E$501,Saisie!$C$2:$C$501,$A17,Saisie!$A$2:$A$501,"&gt;="&amp;DATE(Annee,2,1),Saisie!$A$2:$A$501,"&lt;"&amp;DATE(Annee,3,1)))</f>
        <v/>
      </c>
      <c r="D17">
        <f>IF($A17="","",SUMIFS(Saisie!$E$2:$E$501,Saisie!$C$2:$C$501,$A17,Saisie!$A$2:$A$501,"&gt;="&amp;DATE(Annee,3,1),Saisie!$A$2:$A$501,"&lt;"&amp;DATE(Annee,4,1)))</f>
        <v/>
      </c>
      <c r="E17">
        <f>IF($A17="","",SUMIFS(Saisie!$E$2:$E$501,Saisie!$C$2:$C$501,$A17,Saisie!$A$2:$A$501,"&gt;="&amp;DATE(Annee,4,1),Saisie!$A$2:$A$501,"&lt;"&amp;DATE(Annee,5,1)))</f>
        <v/>
      </c>
      <c r="F17">
        <f>IF($A17="","",SUMIFS(Saisie!$E$2:$E$501,Saisie!$C$2:$C$501,$A17,Saisie!$A$2:$A$501,"&gt;="&amp;DATE(Annee,5,1),Saisie!$A$2:$A$501,"&lt;"&amp;DATE(Annee,6,1)))</f>
        <v/>
      </c>
      <c r="G17">
        <f>IF($A17="","",SUMIFS(Saisie!$E$2:$E$501,Saisie!$C$2:$C$501,$A17,Saisie!$A$2:$A$501,"&gt;="&amp;DATE(Annee,6,1),Saisie!$A$2:$A$501,"&lt;"&amp;DATE(Annee,7,1)))</f>
        <v/>
      </c>
      <c r="H17">
        <f>IF($A17="","",SUMIFS(Saisie!$E$2:$E$501,Saisie!$C$2:$C$501,$A17,Saisie!$A$2:$A$501,"&gt;="&amp;DATE(Annee,7,1),Saisie!$A$2:$A$501,"&lt;"&amp;DATE(Annee,8,1)))</f>
        <v/>
      </c>
      <c r="I17">
        <f>IF($A17="","",SUMIFS(Saisie!$E$2:$E$501,Saisie!$C$2:$C$501,$A17,Saisie!$A$2:$A$501,"&gt;="&amp;DATE(Annee,8,1),Saisie!$A$2:$A$501,"&lt;"&amp;DATE(Annee,9,1)))</f>
        <v/>
      </c>
      <c r="J17">
        <f>IF($A17="","",SUMIFS(Saisie!$E$2:$E$501,Saisie!$C$2:$C$501,$A17,Saisie!$A$2:$A$501,"&gt;="&amp;DATE(Annee,9,1),Saisie!$A$2:$A$501,"&lt;"&amp;DATE(Annee,10,1)))</f>
        <v/>
      </c>
      <c r="K17">
        <f>IF($A17="","",SUMIFS(Saisie!$E$2:$E$501,Saisie!$C$2:$C$501,$A17,Saisie!$A$2:$A$501,"&gt;="&amp;DATE(Annee,10,1),Saisie!$A$2:$A$501,"&lt;"&amp;DATE(Annee,11,1)))</f>
        <v/>
      </c>
      <c r="L17">
        <f>IF($A17="","",SUMIFS(Saisie!$E$2:$E$501,Saisie!$C$2:$C$501,$A17,Saisie!$A$2:$A$501,"&gt;="&amp;DATE(Annee,11,1),Saisie!$A$2:$A$501,"&lt;"&amp;DATE(Annee,12,1)))</f>
        <v/>
      </c>
      <c r="M17">
        <f>IF($A17="","",SUMIFS(Saisie!$E$2:$E$501,Saisie!$C$2:$C$501,$A17,Saisie!$A$2:$A$501,"&gt;="&amp;DATE(Annee,12,1),Saisie!$A$2:$A$501,"&lt;"&amp;DATE(Annee,13,1)))</f>
        <v/>
      </c>
      <c r="N17" s="5">
        <f>IF($A17="","",SUM(B17:M17))</f>
        <v/>
      </c>
    </row>
    <row r="18">
      <c r="A18">
        <f>IF(INDEX(Liste_Projets,14)="","",INDEX(Liste_Projets,14))</f>
        <v/>
      </c>
      <c r="B18">
        <f>IF($A18="","",SUMIFS(Saisie!$E$2:$E$501,Saisie!$C$2:$C$501,$A18,Saisie!$A$2:$A$501,"&gt;="&amp;DATE(Annee,1,1),Saisie!$A$2:$A$501,"&lt;"&amp;DATE(Annee,2,1)))</f>
        <v/>
      </c>
      <c r="C18">
        <f>IF($A18="","",SUMIFS(Saisie!$E$2:$E$501,Saisie!$C$2:$C$501,$A18,Saisie!$A$2:$A$501,"&gt;="&amp;DATE(Annee,2,1),Saisie!$A$2:$A$501,"&lt;"&amp;DATE(Annee,3,1)))</f>
        <v/>
      </c>
      <c r="D18">
        <f>IF($A18="","",SUMIFS(Saisie!$E$2:$E$501,Saisie!$C$2:$C$501,$A18,Saisie!$A$2:$A$501,"&gt;="&amp;DATE(Annee,3,1),Saisie!$A$2:$A$501,"&lt;"&amp;DATE(Annee,4,1)))</f>
        <v/>
      </c>
      <c r="E18">
        <f>IF($A18="","",SUMIFS(Saisie!$E$2:$E$501,Saisie!$C$2:$C$501,$A18,Saisie!$A$2:$A$501,"&gt;="&amp;DATE(Annee,4,1),Saisie!$A$2:$A$501,"&lt;"&amp;DATE(Annee,5,1)))</f>
        <v/>
      </c>
      <c r="F18">
        <f>IF($A18="","",SUMIFS(Saisie!$E$2:$E$501,Saisie!$C$2:$C$501,$A18,Saisie!$A$2:$A$501,"&gt;="&amp;DATE(Annee,5,1),Saisie!$A$2:$A$501,"&lt;"&amp;DATE(Annee,6,1)))</f>
        <v/>
      </c>
      <c r="G18">
        <f>IF($A18="","",SUMIFS(Saisie!$E$2:$E$501,Saisie!$C$2:$C$501,$A18,Saisie!$A$2:$A$501,"&gt;="&amp;DATE(Annee,6,1),Saisie!$A$2:$A$501,"&lt;"&amp;DATE(Annee,7,1)))</f>
        <v/>
      </c>
      <c r="H18">
        <f>IF($A18="","",SUMIFS(Saisie!$E$2:$E$501,Saisie!$C$2:$C$501,$A18,Saisie!$A$2:$A$501,"&gt;="&amp;DATE(Annee,7,1),Saisie!$A$2:$A$501,"&lt;"&amp;DATE(Annee,8,1)))</f>
        <v/>
      </c>
      <c r="I18">
        <f>IF($A18="","",SUMIFS(Saisie!$E$2:$E$501,Saisie!$C$2:$C$501,$A18,Saisie!$A$2:$A$501,"&gt;="&amp;DATE(Annee,8,1),Saisie!$A$2:$A$501,"&lt;"&amp;DATE(Annee,9,1)))</f>
        <v/>
      </c>
      <c r="J18">
        <f>IF($A18="","",SUMIFS(Saisie!$E$2:$E$501,Saisie!$C$2:$C$501,$A18,Saisie!$A$2:$A$501,"&gt;="&amp;DATE(Annee,9,1),Saisie!$A$2:$A$501,"&lt;"&amp;DATE(Annee,10,1)))</f>
        <v/>
      </c>
      <c r="K18">
        <f>IF($A18="","",SUMIFS(Saisie!$E$2:$E$501,Saisie!$C$2:$C$501,$A18,Saisie!$A$2:$A$501,"&gt;="&amp;DATE(Annee,10,1),Saisie!$A$2:$A$501,"&lt;"&amp;DATE(Annee,11,1)))</f>
        <v/>
      </c>
      <c r="L18">
        <f>IF($A18="","",SUMIFS(Saisie!$E$2:$E$501,Saisie!$C$2:$C$501,$A18,Saisie!$A$2:$A$501,"&gt;="&amp;DATE(Annee,11,1),Saisie!$A$2:$A$501,"&lt;"&amp;DATE(Annee,12,1)))</f>
        <v/>
      </c>
      <c r="M18">
        <f>IF($A18="","",SUMIFS(Saisie!$E$2:$E$501,Saisie!$C$2:$C$501,$A18,Saisie!$A$2:$A$501,"&gt;="&amp;DATE(Annee,12,1),Saisie!$A$2:$A$501,"&lt;"&amp;DATE(Annee,13,1)))</f>
        <v/>
      </c>
      <c r="N18" s="5">
        <f>IF($A18="","",SUM(B18:M18))</f>
        <v/>
      </c>
    </row>
    <row r="19">
      <c r="A19">
        <f>IF(INDEX(Liste_Projets,15)="","",INDEX(Liste_Projets,15))</f>
        <v/>
      </c>
      <c r="B19">
        <f>IF($A19="","",SUMIFS(Saisie!$E$2:$E$501,Saisie!$C$2:$C$501,$A19,Saisie!$A$2:$A$501,"&gt;="&amp;DATE(Annee,1,1),Saisie!$A$2:$A$501,"&lt;"&amp;DATE(Annee,2,1)))</f>
        <v/>
      </c>
      <c r="C19">
        <f>IF($A19="","",SUMIFS(Saisie!$E$2:$E$501,Saisie!$C$2:$C$501,$A19,Saisie!$A$2:$A$501,"&gt;="&amp;DATE(Annee,2,1),Saisie!$A$2:$A$501,"&lt;"&amp;DATE(Annee,3,1)))</f>
        <v/>
      </c>
      <c r="D19">
        <f>IF($A19="","",SUMIFS(Saisie!$E$2:$E$501,Saisie!$C$2:$C$501,$A19,Saisie!$A$2:$A$501,"&gt;="&amp;DATE(Annee,3,1),Saisie!$A$2:$A$501,"&lt;"&amp;DATE(Annee,4,1)))</f>
        <v/>
      </c>
      <c r="E19">
        <f>IF($A19="","",SUMIFS(Saisie!$E$2:$E$501,Saisie!$C$2:$C$501,$A19,Saisie!$A$2:$A$501,"&gt;="&amp;DATE(Annee,4,1),Saisie!$A$2:$A$501,"&lt;"&amp;DATE(Annee,5,1)))</f>
        <v/>
      </c>
      <c r="F19">
        <f>IF($A19="","",SUMIFS(Saisie!$E$2:$E$501,Saisie!$C$2:$C$501,$A19,Saisie!$A$2:$A$501,"&gt;="&amp;DATE(Annee,5,1),Saisie!$A$2:$A$501,"&lt;"&amp;DATE(Annee,6,1)))</f>
        <v/>
      </c>
      <c r="G19">
        <f>IF($A19="","",SUMIFS(Saisie!$E$2:$E$501,Saisie!$C$2:$C$501,$A19,Saisie!$A$2:$A$501,"&gt;="&amp;DATE(Annee,6,1),Saisie!$A$2:$A$501,"&lt;"&amp;DATE(Annee,7,1)))</f>
        <v/>
      </c>
      <c r="H19">
        <f>IF($A19="","",SUMIFS(Saisie!$E$2:$E$501,Saisie!$C$2:$C$501,$A19,Saisie!$A$2:$A$501,"&gt;="&amp;DATE(Annee,7,1),Saisie!$A$2:$A$501,"&lt;"&amp;DATE(Annee,8,1)))</f>
        <v/>
      </c>
      <c r="I19">
        <f>IF($A19="","",SUMIFS(Saisie!$E$2:$E$501,Saisie!$C$2:$C$501,$A19,Saisie!$A$2:$A$501,"&gt;="&amp;DATE(Annee,8,1),Saisie!$A$2:$A$501,"&lt;"&amp;DATE(Annee,9,1)))</f>
        <v/>
      </c>
      <c r="J19">
        <f>IF($A19="","",SUMIFS(Saisie!$E$2:$E$501,Saisie!$C$2:$C$501,$A19,Saisie!$A$2:$A$501,"&gt;="&amp;DATE(Annee,9,1),Saisie!$A$2:$A$501,"&lt;"&amp;DATE(Annee,10,1)))</f>
        <v/>
      </c>
      <c r="K19">
        <f>IF($A19="","",SUMIFS(Saisie!$E$2:$E$501,Saisie!$C$2:$C$501,$A19,Saisie!$A$2:$A$501,"&gt;="&amp;DATE(Annee,10,1),Saisie!$A$2:$A$501,"&lt;"&amp;DATE(Annee,11,1)))</f>
        <v/>
      </c>
      <c r="L19">
        <f>IF($A19="","",SUMIFS(Saisie!$E$2:$E$501,Saisie!$C$2:$C$501,$A19,Saisie!$A$2:$A$501,"&gt;="&amp;DATE(Annee,11,1),Saisie!$A$2:$A$501,"&lt;"&amp;DATE(Annee,12,1)))</f>
        <v/>
      </c>
      <c r="M19">
        <f>IF($A19="","",SUMIFS(Saisie!$E$2:$E$501,Saisie!$C$2:$C$501,$A19,Saisie!$A$2:$A$501,"&gt;="&amp;DATE(Annee,12,1),Saisie!$A$2:$A$501,"&lt;"&amp;DATE(Annee,13,1)))</f>
        <v/>
      </c>
      <c r="N19" s="5">
        <f>IF($A19="","",SUM(B19:M19))</f>
        <v/>
      </c>
    </row>
    <row r="20">
      <c r="A20">
        <f>IF(INDEX(Liste_Projets,16)="","",INDEX(Liste_Projets,16))</f>
        <v/>
      </c>
      <c r="B20">
        <f>IF($A20="","",SUMIFS(Saisie!$E$2:$E$501,Saisie!$C$2:$C$501,$A20,Saisie!$A$2:$A$501,"&gt;="&amp;DATE(Annee,1,1),Saisie!$A$2:$A$501,"&lt;"&amp;DATE(Annee,2,1)))</f>
        <v/>
      </c>
      <c r="C20">
        <f>IF($A20="","",SUMIFS(Saisie!$E$2:$E$501,Saisie!$C$2:$C$501,$A20,Saisie!$A$2:$A$501,"&gt;="&amp;DATE(Annee,2,1),Saisie!$A$2:$A$501,"&lt;"&amp;DATE(Annee,3,1)))</f>
        <v/>
      </c>
      <c r="D20">
        <f>IF($A20="","",SUMIFS(Saisie!$E$2:$E$501,Saisie!$C$2:$C$501,$A20,Saisie!$A$2:$A$501,"&gt;="&amp;DATE(Annee,3,1),Saisie!$A$2:$A$501,"&lt;"&amp;DATE(Annee,4,1)))</f>
        <v/>
      </c>
      <c r="E20">
        <f>IF($A20="","",SUMIFS(Saisie!$E$2:$E$501,Saisie!$C$2:$C$501,$A20,Saisie!$A$2:$A$501,"&gt;="&amp;DATE(Annee,4,1),Saisie!$A$2:$A$501,"&lt;"&amp;DATE(Annee,5,1)))</f>
        <v/>
      </c>
      <c r="F20">
        <f>IF($A20="","",SUMIFS(Saisie!$E$2:$E$501,Saisie!$C$2:$C$501,$A20,Saisie!$A$2:$A$501,"&gt;="&amp;DATE(Annee,5,1),Saisie!$A$2:$A$501,"&lt;"&amp;DATE(Annee,6,1)))</f>
        <v/>
      </c>
      <c r="G20">
        <f>IF($A20="","",SUMIFS(Saisie!$E$2:$E$501,Saisie!$C$2:$C$501,$A20,Saisie!$A$2:$A$501,"&gt;="&amp;DATE(Annee,6,1),Saisie!$A$2:$A$501,"&lt;"&amp;DATE(Annee,7,1)))</f>
        <v/>
      </c>
      <c r="H20">
        <f>IF($A20="","",SUMIFS(Saisie!$E$2:$E$501,Saisie!$C$2:$C$501,$A20,Saisie!$A$2:$A$501,"&gt;="&amp;DATE(Annee,7,1),Saisie!$A$2:$A$501,"&lt;"&amp;DATE(Annee,8,1)))</f>
        <v/>
      </c>
      <c r="I20">
        <f>IF($A20="","",SUMIFS(Saisie!$E$2:$E$501,Saisie!$C$2:$C$501,$A20,Saisie!$A$2:$A$501,"&gt;="&amp;DATE(Annee,8,1),Saisie!$A$2:$A$501,"&lt;"&amp;DATE(Annee,9,1)))</f>
        <v/>
      </c>
      <c r="J20">
        <f>IF($A20="","",SUMIFS(Saisie!$E$2:$E$501,Saisie!$C$2:$C$501,$A20,Saisie!$A$2:$A$501,"&gt;="&amp;DATE(Annee,9,1),Saisie!$A$2:$A$501,"&lt;"&amp;DATE(Annee,10,1)))</f>
        <v/>
      </c>
      <c r="K20">
        <f>IF($A20="","",SUMIFS(Saisie!$E$2:$E$501,Saisie!$C$2:$C$501,$A20,Saisie!$A$2:$A$501,"&gt;="&amp;DATE(Annee,10,1),Saisie!$A$2:$A$501,"&lt;"&amp;DATE(Annee,11,1)))</f>
        <v/>
      </c>
      <c r="L20">
        <f>IF($A20="","",SUMIFS(Saisie!$E$2:$E$501,Saisie!$C$2:$C$501,$A20,Saisie!$A$2:$A$501,"&gt;="&amp;DATE(Annee,11,1),Saisie!$A$2:$A$501,"&lt;"&amp;DATE(Annee,12,1)))</f>
        <v/>
      </c>
      <c r="M20">
        <f>IF($A20="","",SUMIFS(Saisie!$E$2:$E$501,Saisie!$C$2:$C$501,$A20,Saisie!$A$2:$A$501,"&gt;="&amp;DATE(Annee,12,1),Saisie!$A$2:$A$501,"&lt;"&amp;DATE(Annee,13,1)))</f>
        <v/>
      </c>
      <c r="N20" s="5">
        <f>IF($A20="","",SUM(B20:M20))</f>
        <v/>
      </c>
    </row>
    <row r="21">
      <c r="A21">
        <f>IF(INDEX(Liste_Projets,17)="","",INDEX(Liste_Projets,17))</f>
        <v/>
      </c>
      <c r="B21">
        <f>IF($A21="","",SUMIFS(Saisie!$E$2:$E$501,Saisie!$C$2:$C$501,$A21,Saisie!$A$2:$A$501,"&gt;="&amp;DATE(Annee,1,1),Saisie!$A$2:$A$501,"&lt;"&amp;DATE(Annee,2,1)))</f>
        <v/>
      </c>
      <c r="C21">
        <f>IF($A21="","",SUMIFS(Saisie!$E$2:$E$501,Saisie!$C$2:$C$501,$A21,Saisie!$A$2:$A$501,"&gt;="&amp;DATE(Annee,2,1),Saisie!$A$2:$A$501,"&lt;"&amp;DATE(Annee,3,1)))</f>
        <v/>
      </c>
      <c r="D21">
        <f>IF($A21="","",SUMIFS(Saisie!$E$2:$E$501,Saisie!$C$2:$C$501,$A21,Saisie!$A$2:$A$501,"&gt;="&amp;DATE(Annee,3,1),Saisie!$A$2:$A$501,"&lt;"&amp;DATE(Annee,4,1)))</f>
        <v/>
      </c>
      <c r="E21">
        <f>IF($A21="","",SUMIFS(Saisie!$E$2:$E$501,Saisie!$C$2:$C$501,$A21,Saisie!$A$2:$A$501,"&gt;="&amp;DATE(Annee,4,1),Saisie!$A$2:$A$501,"&lt;"&amp;DATE(Annee,5,1)))</f>
        <v/>
      </c>
      <c r="F21">
        <f>IF($A21="","",SUMIFS(Saisie!$E$2:$E$501,Saisie!$C$2:$C$501,$A21,Saisie!$A$2:$A$501,"&gt;="&amp;DATE(Annee,5,1),Saisie!$A$2:$A$501,"&lt;"&amp;DATE(Annee,6,1)))</f>
        <v/>
      </c>
      <c r="G21">
        <f>IF($A21="","",SUMIFS(Saisie!$E$2:$E$501,Saisie!$C$2:$C$501,$A21,Saisie!$A$2:$A$501,"&gt;="&amp;DATE(Annee,6,1),Saisie!$A$2:$A$501,"&lt;"&amp;DATE(Annee,7,1)))</f>
        <v/>
      </c>
      <c r="H21">
        <f>IF($A21="","",SUMIFS(Saisie!$E$2:$E$501,Saisie!$C$2:$C$501,$A21,Saisie!$A$2:$A$501,"&gt;="&amp;DATE(Annee,7,1),Saisie!$A$2:$A$501,"&lt;"&amp;DATE(Annee,8,1)))</f>
        <v/>
      </c>
      <c r="I21">
        <f>IF($A21="","",SUMIFS(Saisie!$E$2:$E$501,Saisie!$C$2:$C$501,$A21,Saisie!$A$2:$A$501,"&gt;="&amp;DATE(Annee,8,1),Saisie!$A$2:$A$501,"&lt;"&amp;DATE(Annee,9,1)))</f>
        <v/>
      </c>
      <c r="J21">
        <f>IF($A21="","",SUMIFS(Saisie!$E$2:$E$501,Saisie!$C$2:$C$501,$A21,Saisie!$A$2:$A$501,"&gt;="&amp;DATE(Annee,9,1),Saisie!$A$2:$A$501,"&lt;"&amp;DATE(Annee,10,1)))</f>
        <v/>
      </c>
      <c r="K21">
        <f>IF($A21="","",SUMIFS(Saisie!$E$2:$E$501,Saisie!$C$2:$C$501,$A21,Saisie!$A$2:$A$501,"&gt;="&amp;DATE(Annee,10,1),Saisie!$A$2:$A$501,"&lt;"&amp;DATE(Annee,11,1)))</f>
        <v/>
      </c>
      <c r="L21">
        <f>IF($A21="","",SUMIFS(Saisie!$E$2:$E$501,Saisie!$C$2:$C$501,$A21,Saisie!$A$2:$A$501,"&gt;="&amp;DATE(Annee,11,1),Saisie!$A$2:$A$501,"&lt;"&amp;DATE(Annee,12,1)))</f>
        <v/>
      </c>
      <c r="M21">
        <f>IF($A21="","",SUMIFS(Saisie!$E$2:$E$501,Saisie!$C$2:$C$501,$A21,Saisie!$A$2:$A$501,"&gt;="&amp;DATE(Annee,12,1),Saisie!$A$2:$A$501,"&lt;"&amp;DATE(Annee,13,1)))</f>
        <v/>
      </c>
      <c r="N21" s="5">
        <f>IF($A21="","",SUM(B21:M21))</f>
        <v/>
      </c>
    </row>
    <row r="22">
      <c r="A22">
        <f>IF(INDEX(Liste_Projets,18)="","",INDEX(Liste_Projets,18))</f>
        <v/>
      </c>
      <c r="B22">
        <f>IF($A22="","",SUMIFS(Saisie!$E$2:$E$501,Saisie!$C$2:$C$501,$A22,Saisie!$A$2:$A$501,"&gt;="&amp;DATE(Annee,1,1),Saisie!$A$2:$A$501,"&lt;"&amp;DATE(Annee,2,1)))</f>
        <v/>
      </c>
      <c r="C22">
        <f>IF($A22="","",SUMIFS(Saisie!$E$2:$E$501,Saisie!$C$2:$C$501,$A22,Saisie!$A$2:$A$501,"&gt;="&amp;DATE(Annee,2,1),Saisie!$A$2:$A$501,"&lt;"&amp;DATE(Annee,3,1)))</f>
        <v/>
      </c>
      <c r="D22">
        <f>IF($A22="","",SUMIFS(Saisie!$E$2:$E$501,Saisie!$C$2:$C$501,$A22,Saisie!$A$2:$A$501,"&gt;="&amp;DATE(Annee,3,1),Saisie!$A$2:$A$501,"&lt;"&amp;DATE(Annee,4,1)))</f>
        <v/>
      </c>
      <c r="E22">
        <f>IF($A22="","",SUMIFS(Saisie!$E$2:$E$501,Saisie!$C$2:$C$501,$A22,Saisie!$A$2:$A$501,"&gt;="&amp;DATE(Annee,4,1),Saisie!$A$2:$A$501,"&lt;"&amp;DATE(Annee,5,1)))</f>
        <v/>
      </c>
      <c r="F22">
        <f>IF($A22="","",SUMIFS(Saisie!$E$2:$E$501,Saisie!$C$2:$C$501,$A22,Saisie!$A$2:$A$501,"&gt;="&amp;DATE(Annee,5,1),Saisie!$A$2:$A$501,"&lt;"&amp;DATE(Annee,6,1)))</f>
        <v/>
      </c>
      <c r="G22">
        <f>IF($A22="","",SUMIFS(Saisie!$E$2:$E$501,Saisie!$C$2:$C$501,$A22,Saisie!$A$2:$A$501,"&gt;="&amp;DATE(Annee,6,1),Saisie!$A$2:$A$501,"&lt;"&amp;DATE(Annee,7,1)))</f>
        <v/>
      </c>
      <c r="H22">
        <f>IF($A22="","",SUMIFS(Saisie!$E$2:$E$501,Saisie!$C$2:$C$501,$A22,Saisie!$A$2:$A$501,"&gt;="&amp;DATE(Annee,7,1),Saisie!$A$2:$A$501,"&lt;"&amp;DATE(Annee,8,1)))</f>
        <v/>
      </c>
      <c r="I22">
        <f>IF($A22="","",SUMIFS(Saisie!$E$2:$E$501,Saisie!$C$2:$C$501,$A22,Saisie!$A$2:$A$501,"&gt;="&amp;DATE(Annee,8,1),Saisie!$A$2:$A$501,"&lt;"&amp;DATE(Annee,9,1)))</f>
        <v/>
      </c>
      <c r="J22">
        <f>IF($A22="","",SUMIFS(Saisie!$E$2:$E$501,Saisie!$C$2:$C$501,$A22,Saisie!$A$2:$A$501,"&gt;="&amp;DATE(Annee,9,1),Saisie!$A$2:$A$501,"&lt;"&amp;DATE(Annee,10,1)))</f>
        <v/>
      </c>
      <c r="K22">
        <f>IF($A22="","",SUMIFS(Saisie!$E$2:$E$501,Saisie!$C$2:$C$501,$A22,Saisie!$A$2:$A$501,"&gt;="&amp;DATE(Annee,10,1),Saisie!$A$2:$A$501,"&lt;"&amp;DATE(Annee,11,1)))</f>
        <v/>
      </c>
      <c r="L22">
        <f>IF($A22="","",SUMIFS(Saisie!$E$2:$E$501,Saisie!$C$2:$C$501,$A22,Saisie!$A$2:$A$501,"&gt;="&amp;DATE(Annee,11,1),Saisie!$A$2:$A$501,"&lt;"&amp;DATE(Annee,12,1)))</f>
        <v/>
      </c>
      <c r="M22">
        <f>IF($A22="","",SUMIFS(Saisie!$E$2:$E$501,Saisie!$C$2:$C$501,$A22,Saisie!$A$2:$A$501,"&gt;="&amp;DATE(Annee,12,1),Saisie!$A$2:$A$501,"&lt;"&amp;DATE(Annee,13,1)))</f>
        <v/>
      </c>
      <c r="N22" s="5">
        <f>IF($A22="","",SUM(B22:M22))</f>
        <v/>
      </c>
    </row>
    <row r="23">
      <c r="A23">
        <f>IF(INDEX(Liste_Projets,19)="","",INDEX(Liste_Projets,19))</f>
        <v/>
      </c>
      <c r="B23">
        <f>IF($A23="","",SUMIFS(Saisie!$E$2:$E$501,Saisie!$C$2:$C$501,$A23,Saisie!$A$2:$A$501,"&gt;="&amp;DATE(Annee,1,1),Saisie!$A$2:$A$501,"&lt;"&amp;DATE(Annee,2,1)))</f>
        <v/>
      </c>
      <c r="C23">
        <f>IF($A23="","",SUMIFS(Saisie!$E$2:$E$501,Saisie!$C$2:$C$501,$A23,Saisie!$A$2:$A$501,"&gt;="&amp;DATE(Annee,2,1),Saisie!$A$2:$A$501,"&lt;"&amp;DATE(Annee,3,1)))</f>
        <v/>
      </c>
      <c r="D23">
        <f>IF($A23="","",SUMIFS(Saisie!$E$2:$E$501,Saisie!$C$2:$C$501,$A23,Saisie!$A$2:$A$501,"&gt;="&amp;DATE(Annee,3,1),Saisie!$A$2:$A$501,"&lt;"&amp;DATE(Annee,4,1)))</f>
        <v/>
      </c>
      <c r="E23">
        <f>IF($A23="","",SUMIFS(Saisie!$E$2:$E$501,Saisie!$C$2:$C$501,$A23,Saisie!$A$2:$A$501,"&gt;="&amp;DATE(Annee,4,1),Saisie!$A$2:$A$501,"&lt;"&amp;DATE(Annee,5,1)))</f>
        <v/>
      </c>
      <c r="F23">
        <f>IF($A23="","",SUMIFS(Saisie!$E$2:$E$501,Saisie!$C$2:$C$501,$A23,Saisie!$A$2:$A$501,"&gt;="&amp;DATE(Annee,5,1),Saisie!$A$2:$A$501,"&lt;"&amp;DATE(Annee,6,1)))</f>
        <v/>
      </c>
      <c r="G23">
        <f>IF($A23="","",SUMIFS(Saisie!$E$2:$E$501,Saisie!$C$2:$C$501,$A23,Saisie!$A$2:$A$501,"&gt;="&amp;DATE(Annee,6,1),Saisie!$A$2:$A$501,"&lt;"&amp;DATE(Annee,7,1)))</f>
        <v/>
      </c>
      <c r="H23">
        <f>IF($A23="","",SUMIFS(Saisie!$E$2:$E$501,Saisie!$C$2:$C$501,$A23,Saisie!$A$2:$A$501,"&gt;="&amp;DATE(Annee,7,1),Saisie!$A$2:$A$501,"&lt;"&amp;DATE(Annee,8,1)))</f>
        <v/>
      </c>
      <c r="I23">
        <f>IF($A23="","",SUMIFS(Saisie!$E$2:$E$501,Saisie!$C$2:$C$501,$A23,Saisie!$A$2:$A$501,"&gt;="&amp;DATE(Annee,8,1),Saisie!$A$2:$A$501,"&lt;"&amp;DATE(Annee,9,1)))</f>
        <v/>
      </c>
      <c r="J23">
        <f>IF($A23="","",SUMIFS(Saisie!$E$2:$E$501,Saisie!$C$2:$C$501,$A23,Saisie!$A$2:$A$501,"&gt;="&amp;DATE(Annee,9,1),Saisie!$A$2:$A$501,"&lt;"&amp;DATE(Annee,10,1)))</f>
        <v/>
      </c>
      <c r="K23">
        <f>IF($A23="","",SUMIFS(Saisie!$E$2:$E$501,Saisie!$C$2:$C$501,$A23,Saisie!$A$2:$A$501,"&gt;="&amp;DATE(Annee,10,1),Saisie!$A$2:$A$501,"&lt;"&amp;DATE(Annee,11,1)))</f>
        <v/>
      </c>
      <c r="L23">
        <f>IF($A23="","",SUMIFS(Saisie!$E$2:$E$501,Saisie!$C$2:$C$501,$A23,Saisie!$A$2:$A$501,"&gt;="&amp;DATE(Annee,11,1),Saisie!$A$2:$A$501,"&lt;"&amp;DATE(Annee,12,1)))</f>
        <v/>
      </c>
      <c r="M23">
        <f>IF($A23="","",SUMIFS(Saisie!$E$2:$E$501,Saisie!$C$2:$C$501,$A23,Saisie!$A$2:$A$501,"&gt;="&amp;DATE(Annee,12,1),Saisie!$A$2:$A$501,"&lt;"&amp;DATE(Annee,13,1)))</f>
        <v/>
      </c>
      <c r="N23" s="5">
        <f>IF($A23="","",SUM(B23:M23))</f>
        <v/>
      </c>
    </row>
    <row r="24">
      <c r="A24">
        <f>IF(INDEX(Liste_Projets,20)="","",INDEX(Liste_Projets,20))</f>
        <v/>
      </c>
      <c r="B24">
        <f>IF($A24="","",SUMIFS(Saisie!$E$2:$E$501,Saisie!$C$2:$C$501,$A24,Saisie!$A$2:$A$501,"&gt;="&amp;DATE(Annee,1,1),Saisie!$A$2:$A$501,"&lt;"&amp;DATE(Annee,2,1)))</f>
        <v/>
      </c>
      <c r="C24">
        <f>IF($A24="","",SUMIFS(Saisie!$E$2:$E$501,Saisie!$C$2:$C$501,$A24,Saisie!$A$2:$A$501,"&gt;="&amp;DATE(Annee,2,1),Saisie!$A$2:$A$501,"&lt;"&amp;DATE(Annee,3,1)))</f>
        <v/>
      </c>
      <c r="D24">
        <f>IF($A24="","",SUMIFS(Saisie!$E$2:$E$501,Saisie!$C$2:$C$501,$A24,Saisie!$A$2:$A$501,"&gt;="&amp;DATE(Annee,3,1),Saisie!$A$2:$A$501,"&lt;"&amp;DATE(Annee,4,1)))</f>
        <v/>
      </c>
      <c r="E24">
        <f>IF($A24="","",SUMIFS(Saisie!$E$2:$E$501,Saisie!$C$2:$C$501,$A24,Saisie!$A$2:$A$501,"&gt;="&amp;DATE(Annee,4,1),Saisie!$A$2:$A$501,"&lt;"&amp;DATE(Annee,5,1)))</f>
        <v/>
      </c>
      <c r="F24">
        <f>IF($A24="","",SUMIFS(Saisie!$E$2:$E$501,Saisie!$C$2:$C$501,$A24,Saisie!$A$2:$A$501,"&gt;="&amp;DATE(Annee,5,1),Saisie!$A$2:$A$501,"&lt;"&amp;DATE(Annee,6,1)))</f>
        <v/>
      </c>
      <c r="G24">
        <f>IF($A24="","",SUMIFS(Saisie!$E$2:$E$501,Saisie!$C$2:$C$501,$A24,Saisie!$A$2:$A$501,"&gt;="&amp;DATE(Annee,6,1),Saisie!$A$2:$A$501,"&lt;"&amp;DATE(Annee,7,1)))</f>
        <v/>
      </c>
      <c r="H24">
        <f>IF($A24="","",SUMIFS(Saisie!$E$2:$E$501,Saisie!$C$2:$C$501,$A24,Saisie!$A$2:$A$501,"&gt;="&amp;DATE(Annee,7,1),Saisie!$A$2:$A$501,"&lt;"&amp;DATE(Annee,8,1)))</f>
        <v/>
      </c>
      <c r="I24">
        <f>IF($A24="","",SUMIFS(Saisie!$E$2:$E$501,Saisie!$C$2:$C$501,$A24,Saisie!$A$2:$A$501,"&gt;="&amp;DATE(Annee,8,1),Saisie!$A$2:$A$501,"&lt;"&amp;DATE(Annee,9,1)))</f>
        <v/>
      </c>
      <c r="J24">
        <f>IF($A24="","",SUMIFS(Saisie!$E$2:$E$501,Saisie!$C$2:$C$501,$A24,Saisie!$A$2:$A$501,"&gt;="&amp;DATE(Annee,9,1),Saisie!$A$2:$A$501,"&lt;"&amp;DATE(Annee,10,1)))</f>
        <v/>
      </c>
      <c r="K24">
        <f>IF($A24="","",SUMIFS(Saisie!$E$2:$E$501,Saisie!$C$2:$C$501,$A24,Saisie!$A$2:$A$501,"&gt;="&amp;DATE(Annee,10,1),Saisie!$A$2:$A$501,"&lt;"&amp;DATE(Annee,11,1)))</f>
        <v/>
      </c>
      <c r="L24">
        <f>IF($A24="","",SUMIFS(Saisie!$E$2:$E$501,Saisie!$C$2:$C$501,$A24,Saisie!$A$2:$A$501,"&gt;="&amp;DATE(Annee,11,1),Saisie!$A$2:$A$501,"&lt;"&amp;DATE(Annee,12,1)))</f>
        <v/>
      </c>
      <c r="M24">
        <f>IF($A24="","",SUMIFS(Saisie!$E$2:$E$501,Saisie!$C$2:$C$501,$A24,Saisie!$A$2:$A$501,"&gt;="&amp;DATE(Annee,12,1),Saisie!$A$2:$A$501,"&lt;"&amp;DATE(Annee,13,1)))</f>
        <v/>
      </c>
      <c r="N24" s="5">
        <f>IF($A24="","",SUM(B24:M24))</f>
        <v/>
      </c>
    </row>
    <row r="25">
      <c r="A25">
        <f>IF(INDEX(Liste_Projets,21)="","",INDEX(Liste_Projets,21))</f>
        <v/>
      </c>
      <c r="B25">
        <f>IF($A25="","",SUMIFS(Saisie!$E$2:$E$501,Saisie!$C$2:$C$501,$A25,Saisie!$A$2:$A$501,"&gt;="&amp;DATE(Annee,1,1),Saisie!$A$2:$A$501,"&lt;"&amp;DATE(Annee,2,1)))</f>
        <v/>
      </c>
      <c r="C25">
        <f>IF($A25="","",SUMIFS(Saisie!$E$2:$E$501,Saisie!$C$2:$C$501,$A25,Saisie!$A$2:$A$501,"&gt;="&amp;DATE(Annee,2,1),Saisie!$A$2:$A$501,"&lt;"&amp;DATE(Annee,3,1)))</f>
        <v/>
      </c>
      <c r="D25">
        <f>IF($A25="","",SUMIFS(Saisie!$E$2:$E$501,Saisie!$C$2:$C$501,$A25,Saisie!$A$2:$A$501,"&gt;="&amp;DATE(Annee,3,1),Saisie!$A$2:$A$501,"&lt;"&amp;DATE(Annee,4,1)))</f>
        <v/>
      </c>
      <c r="E25">
        <f>IF($A25="","",SUMIFS(Saisie!$E$2:$E$501,Saisie!$C$2:$C$501,$A25,Saisie!$A$2:$A$501,"&gt;="&amp;DATE(Annee,4,1),Saisie!$A$2:$A$501,"&lt;"&amp;DATE(Annee,5,1)))</f>
        <v/>
      </c>
      <c r="F25">
        <f>IF($A25="","",SUMIFS(Saisie!$E$2:$E$501,Saisie!$C$2:$C$501,$A25,Saisie!$A$2:$A$501,"&gt;="&amp;DATE(Annee,5,1),Saisie!$A$2:$A$501,"&lt;"&amp;DATE(Annee,6,1)))</f>
        <v/>
      </c>
      <c r="G25">
        <f>IF($A25="","",SUMIFS(Saisie!$E$2:$E$501,Saisie!$C$2:$C$501,$A25,Saisie!$A$2:$A$501,"&gt;="&amp;DATE(Annee,6,1),Saisie!$A$2:$A$501,"&lt;"&amp;DATE(Annee,7,1)))</f>
        <v/>
      </c>
      <c r="H25">
        <f>IF($A25="","",SUMIFS(Saisie!$E$2:$E$501,Saisie!$C$2:$C$501,$A25,Saisie!$A$2:$A$501,"&gt;="&amp;DATE(Annee,7,1),Saisie!$A$2:$A$501,"&lt;"&amp;DATE(Annee,8,1)))</f>
        <v/>
      </c>
      <c r="I25">
        <f>IF($A25="","",SUMIFS(Saisie!$E$2:$E$501,Saisie!$C$2:$C$501,$A25,Saisie!$A$2:$A$501,"&gt;="&amp;DATE(Annee,8,1),Saisie!$A$2:$A$501,"&lt;"&amp;DATE(Annee,9,1)))</f>
        <v/>
      </c>
      <c r="J25">
        <f>IF($A25="","",SUMIFS(Saisie!$E$2:$E$501,Saisie!$C$2:$C$501,$A25,Saisie!$A$2:$A$501,"&gt;="&amp;DATE(Annee,9,1),Saisie!$A$2:$A$501,"&lt;"&amp;DATE(Annee,10,1)))</f>
        <v/>
      </c>
      <c r="K25">
        <f>IF($A25="","",SUMIFS(Saisie!$E$2:$E$501,Saisie!$C$2:$C$501,$A25,Saisie!$A$2:$A$501,"&gt;="&amp;DATE(Annee,10,1),Saisie!$A$2:$A$501,"&lt;"&amp;DATE(Annee,11,1)))</f>
        <v/>
      </c>
      <c r="L25">
        <f>IF($A25="","",SUMIFS(Saisie!$E$2:$E$501,Saisie!$C$2:$C$501,$A25,Saisie!$A$2:$A$501,"&gt;="&amp;DATE(Annee,11,1),Saisie!$A$2:$A$501,"&lt;"&amp;DATE(Annee,12,1)))</f>
        <v/>
      </c>
      <c r="M25">
        <f>IF($A25="","",SUMIFS(Saisie!$E$2:$E$501,Saisie!$C$2:$C$501,$A25,Saisie!$A$2:$A$501,"&gt;="&amp;DATE(Annee,12,1),Saisie!$A$2:$A$501,"&lt;"&amp;DATE(Annee,13,1)))</f>
        <v/>
      </c>
      <c r="N25" s="5">
        <f>IF($A25="","",SUM(B25:M25))</f>
        <v/>
      </c>
    </row>
    <row r="26">
      <c r="A26">
        <f>IF(INDEX(Liste_Projets,22)="","",INDEX(Liste_Projets,22))</f>
        <v/>
      </c>
      <c r="B26">
        <f>IF($A26="","",SUMIFS(Saisie!$E$2:$E$501,Saisie!$C$2:$C$501,$A26,Saisie!$A$2:$A$501,"&gt;="&amp;DATE(Annee,1,1),Saisie!$A$2:$A$501,"&lt;"&amp;DATE(Annee,2,1)))</f>
        <v/>
      </c>
      <c r="C26">
        <f>IF($A26="","",SUMIFS(Saisie!$E$2:$E$501,Saisie!$C$2:$C$501,$A26,Saisie!$A$2:$A$501,"&gt;="&amp;DATE(Annee,2,1),Saisie!$A$2:$A$501,"&lt;"&amp;DATE(Annee,3,1)))</f>
        <v/>
      </c>
      <c r="D26">
        <f>IF($A26="","",SUMIFS(Saisie!$E$2:$E$501,Saisie!$C$2:$C$501,$A26,Saisie!$A$2:$A$501,"&gt;="&amp;DATE(Annee,3,1),Saisie!$A$2:$A$501,"&lt;"&amp;DATE(Annee,4,1)))</f>
        <v/>
      </c>
      <c r="E26">
        <f>IF($A26="","",SUMIFS(Saisie!$E$2:$E$501,Saisie!$C$2:$C$501,$A26,Saisie!$A$2:$A$501,"&gt;="&amp;DATE(Annee,4,1),Saisie!$A$2:$A$501,"&lt;"&amp;DATE(Annee,5,1)))</f>
        <v/>
      </c>
      <c r="F26">
        <f>IF($A26="","",SUMIFS(Saisie!$E$2:$E$501,Saisie!$C$2:$C$501,$A26,Saisie!$A$2:$A$501,"&gt;="&amp;DATE(Annee,5,1),Saisie!$A$2:$A$501,"&lt;"&amp;DATE(Annee,6,1)))</f>
        <v/>
      </c>
      <c r="G26">
        <f>IF($A26="","",SUMIFS(Saisie!$E$2:$E$501,Saisie!$C$2:$C$501,$A26,Saisie!$A$2:$A$501,"&gt;="&amp;DATE(Annee,6,1),Saisie!$A$2:$A$501,"&lt;"&amp;DATE(Annee,7,1)))</f>
        <v/>
      </c>
      <c r="H26">
        <f>IF($A26="","",SUMIFS(Saisie!$E$2:$E$501,Saisie!$C$2:$C$501,$A26,Saisie!$A$2:$A$501,"&gt;="&amp;DATE(Annee,7,1),Saisie!$A$2:$A$501,"&lt;"&amp;DATE(Annee,8,1)))</f>
        <v/>
      </c>
      <c r="I26">
        <f>IF($A26="","",SUMIFS(Saisie!$E$2:$E$501,Saisie!$C$2:$C$501,$A26,Saisie!$A$2:$A$501,"&gt;="&amp;DATE(Annee,8,1),Saisie!$A$2:$A$501,"&lt;"&amp;DATE(Annee,9,1)))</f>
        <v/>
      </c>
      <c r="J26">
        <f>IF($A26="","",SUMIFS(Saisie!$E$2:$E$501,Saisie!$C$2:$C$501,$A26,Saisie!$A$2:$A$501,"&gt;="&amp;DATE(Annee,9,1),Saisie!$A$2:$A$501,"&lt;"&amp;DATE(Annee,10,1)))</f>
        <v/>
      </c>
      <c r="K26">
        <f>IF($A26="","",SUMIFS(Saisie!$E$2:$E$501,Saisie!$C$2:$C$501,$A26,Saisie!$A$2:$A$501,"&gt;="&amp;DATE(Annee,10,1),Saisie!$A$2:$A$501,"&lt;"&amp;DATE(Annee,11,1)))</f>
        <v/>
      </c>
      <c r="L26">
        <f>IF($A26="","",SUMIFS(Saisie!$E$2:$E$501,Saisie!$C$2:$C$501,$A26,Saisie!$A$2:$A$501,"&gt;="&amp;DATE(Annee,11,1),Saisie!$A$2:$A$501,"&lt;"&amp;DATE(Annee,12,1)))</f>
        <v/>
      </c>
      <c r="M26">
        <f>IF($A26="","",SUMIFS(Saisie!$E$2:$E$501,Saisie!$C$2:$C$501,$A26,Saisie!$A$2:$A$501,"&gt;="&amp;DATE(Annee,12,1),Saisie!$A$2:$A$501,"&lt;"&amp;DATE(Annee,13,1)))</f>
        <v/>
      </c>
      <c r="N26" s="5">
        <f>IF($A26="","",SUM(B26:M26))</f>
        <v/>
      </c>
    </row>
    <row r="27">
      <c r="A27">
        <f>IF(INDEX(Liste_Projets,23)="","",INDEX(Liste_Projets,23))</f>
        <v/>
      </c>
      <c r="B27">
        <f>IF($A27="","",SUMIFS(Saisie!$E$2:$E$501,Saisie!$C$2:$C$501,$A27,Saisie!$A$2:$A$501,"&gt;="&amp;DATE(Annee,1,1),Saisie!$A$2:$A$501,"&lt;"&amp;DATE(Annee,2,1)))</f>
        <v/>
      </c>
      <c r="C27">
        <f>IF($A27="","",SUMIFS(Saisie!$E$2:$E$501,Saisie!$C$2:$C$501,$A27,Saisie!$A$2:$A$501,"&gt;="&amp;DATE(Annee,2,1),Saisie!$A$2:$A$501,"&lt;"&amp;DATE(Annee,3,1)))</f>
        <v/>
      </c>
      <c r="D27">
        <f>IF($A27="","",SUMIFS(Saisie!$E$2:$E$501,Saisie!$C$2:$C$501,$A27,Saisie!$A$2:$A$501,"&gt;="&amp;DATE(Annee,3,1),Saisie!$A$2:$A$501,"&lt;"&amp;DATE(Annee,4,1)))</f>
        <v/>
      </c>
      <c r="E27">
        <f>IF($A27="","",SUMIFS(Saisie!$E$2:$E$501,Saisie!$C$2:$C$501,$A27,Saisie!$A$2:$A$501,"&gt;="&amp;DATE(Annee,4,1),Saisie!$A$2:$A$501,"&lt;"&amp;DATE(Annee,5,1)))</f>
        <v/>
      </c>
      <c r="F27">
        <f>IF($A27="","",SUMIFS(Saisie!$E$2:$E$501,Saisie!$C$2:$C$501,$A27,Saisie!$A$2:$A$501,"&gt;="&amp;DATE(Annee,5,1),Saisie!$A$2:$A$501,"&lt;"&amp;DATE(Annee,6,1)))</f>
        <v/>
      </c>
      <c r="G27">
        <f>IF($A27="","",SUMIFS(Saisie!$E$2:$E$501,Saisie!$C$2:$C$501,$A27,Saisie!$A$2:$A$501,"&gt;="&amp;DATE(Annee,6,1),Saisie!$A$2:$A$501,"&lt;"&amp;DATE(Annee,7,1)))</f>
        <v/>
      </c>
      <c r="H27">
        <f>IF($A27="","",SUMIFS(Saisie!$E$2:$E$501,Saisie!$C$2:$C$501,$A27,Saisie!$A$2:$A$501,"&gt;="&amp;DATE(Annee,7,1),Saisie!$A$2:$A$501,"&lt;"&amp;DATE(Annee,8,1)))</f>
        <v/>
      </c>
      <c r="I27">
        <f>IF($A27="","",SUMIFS(Saisie!$E$2:$E$501,Saisie!$C$2:$C$501,$A27,Saisie!$A$2:$A$501,"&gt;="&amp;DATE(Annee,8,1),Saisie!$A$2:$A$501,"&lt;"&amp;DATE(Annee,9,1)))</f>
        <v/>
      </c>
      <c r="J27">
        <f>IF($A27="","",SUMIFS(Saisie!$E$2:$E$501,Saisie!$C$2:$C$501,$A27,Saisie!$A$2:$A$501,"&gt;="&amp;DATE(Annee,9,1),Saisie!$A$2:$A$501,"&lt;"&amp;DATE(Annee,10,1)))</f>
        <v/>
      </c>
      <c r="K27">
        <f>IF($A27="","",SUMIFS(Saisie!$E$2:$E$501,Saisie!$C$2:$C$501,$A27,Saisie!$A$2:$A$501,"&gt;="&amp;DATE(Annee,10,1),Saisie!$A$2:$A$501,"&lt;"&amp;DATE(Annee,11,1)))</f>
        <v/>
      </c>
      <c r="L27">
        <f>IF($A27="","",SUMIFS(Saisie!$E$2:$E$501,Saisie!$C$2:$C$501,$A27,Saisie!$A$2:$A$501,"&gt;="&amp;DATE(Annee,11,1),Saisie!$A$2:$A$501,"&lt;"&amp;DATE(Annee,12,1)))</f>
        <v/>
      </c>
      <c r="M27">
        <f>IF($A27="","",SUMIFS(Saisie!$E$2:$E$501,Saisie!$C$2:$C$501,$A27,Saisie!$A$2:$A$501,"&gt;="&amp;DATE(Annee,12,1),Saisie!$A$2:$A$501,"&lt;"&amp;DATE(Annee,13,1)))</f>
        <v/>
      </c>
      <c r="N27" s="5">
        <f>IF($A27="","",SUM(B27:M27))</f>
        <v/>
      </c>
    </row>
    <row r="28">
      <c r="A28">
        <f>IF(INDEX(Liste_Projets,24)="","",INDEX(Liste_Projets,24))</f>
        <v/>
      </c>
      <c r="B28">
        <f>IF($A28="","",SUMIFS(Saisie!$E$2:$E$501,Saisie!$C$2:$C$501,$A28,Saisie!$A$2:$A$501,"&gt;="&amp;DATE(Annee,1,1),Saisie!$A$2:$A$501,"&lt;"&amp;DATE(Annee,2,1)))</f>
        <v/>
      </c>
      <c r="C28">
        <f>IF($A28="","",SUMIFS(Saisie!$E$2:$E$501,Saisie!$C$2:$C$501,$A28,Saisie!$A$2:$A$501,"&gt;="&amp;DATE(Annee,2,1),Saisie!$A$2:$A$501,"&lt;"&amp;DATE(Annee,3,1)))</f>
        <v/>
      </c>
      <c r="D28">
        <f>IF($A28="","",SUMIFS(Saisie!$E$2:$E$501,Saisie!$C$2:$C$501,$A28,Saisie!$A$2:$A$501,"&gt;="&amp;DATE(Annee,3,1),Saisie!$A$2:$A$501,"&lt;"&amp;DATE(Annee,4,1)))</f>
        <v/>
      </c>
      <c r="E28">
        <f>IF($A28="","",SUMIFS(Saisie!$E$2:$E$501,Saisie!$C$2:$C$501,$A28,Saisie!$A$2:$A$501,"&gt;="&amp;DATE(Annee,4,1),Saisie!$A$2:$A$501,"&lt;"&amp;DATE(Annee,5,1)))</f>
        <v/>
      </c>
      <c r="F28">
        <f>IF($A28="","",SUMIFS(Saisie!$E$2:$E$501,Saisie!$C$2:$C$501,$A28,Saisie!$A$2:$A$501,"&gt;="&amp;DATE(Annee,5,1),Saisie!$A$2:$A$501,"&lt;"&amp;DATE(Annee,6,1)))</f>
        <v/>
      </c>
      <c r="G28">
        <f>IF($A28="","",SUMIFS(Saisie!$E$2:$E$501,Saisie!$C$2:$C$501,$A28,Saisie!$A$2:$A$501,"&gt;="&amp;DATE(Annee,6,1),Saisie!$A$2:$A$501,"&lt;"&amp;DATE(Annee,7,1)))</f>
        <v/>
      </c>
      <c r="H28">
        <f>IF($A28="","",SUMIFS(Saisie!$E$2:$E$501,Saisie!$C$2:$C$501,$A28,Saisie!$A$2:$A$501,"&gt;="&amp;DATE(Annee,7,1),Saisie!$A$2:$A$501,"&lt;"&amp;DATE(Annee,8,1)))</f>
        <v/>
      </c>
      <c r="I28">
        <f>IF($A28="","",SUMIFS(Saisie!$E$2:$E$501,Saisie!$C$2:$C$501,$A28,Saisie!$A$2:$A$501,"&gt;="&amp;DATE(Annee,8,1),Saisie!$A$2:$A$501,"&lt;"&amp;DATE(Annee,9,1)))</f>
        <v/>
      </c>
      <c r="J28">
        <f>IF($A28="","",SUMIFS(Saisie!$E$2:$E$501,Saisie!$C$2:$C$501,$A28,Saisie!$A$2:$A$501,"&gt;="&amp;DATE(Annee,9,1),Saisie!$A$2:$A$501,"&lt;"&amp;DATE(Annee,10,1)))</f>
        <v/>
      </c>
      <c r="K28">
        <f>IF($A28="","",SUMIFS(Saisie!$E$2:$E$501,Saisie!$C$2:$C$501,$A28,Saisie!$A$2:$A$501,"&gt;="&amp;DATE(Annee,10,1),Saisie!$A$2:$A$501,"&lt;"&amp;DATE(Annee,11,1)))</f>
        <v/>
      </c>
      <c r="L28">
        <f>IF($A28="","",SUMIFS(Saisie!$E$2:$E$501,Saisie!$C$2:$C$501,$A28,Saisie!$A$2:$A$501,"&gt;="&amp;DATE(Annee,11,1),Saisie!$A$2:$A$501,"&lt;"&amp;DATE(Annee,12,1)))</f>
        <v/>
      </c>
      <c r="M28">
        <f>IF($A28="","",SUMIFS(Saisie!$E$2:$E$501,Saisie!$C$2:$C$501,$A28,Saisie!$A$2:$A$501,"&gt;="&amp;DATE(Annee,12,1),Saisie!$A$2:$A$501,"&lt;"&amp;DATE(Annee,13,1)))</f>
        <v/>
      </c>
      <c r="N28" s="5">
        <f>IF($A28="","",SUM(B28:M28))</f>
        <v/>
      </c>
    </row>
    <row r="29">
      <c r="A29">
        <f>IF(INDEX(Liste_Projets,25)="","",INDEX(Liste_Projets,25))</f>
        <v/>
      </c>
      <c r="B29">
        <f>IF($A29="","",SUMIFS(Saisie!$E$2:$E$501,Saisie!$C$2:$C$501,$A29,Saisie!$A$2:$A$501,"&gt;="&amp;DATE(Annee,1,1),Saisie!$A$2:$A$501,"&lt;"&amp;DATE(Annee,2,1)))</f>
        <v/>
      </c>
      <c r="C29">
        <f>IF($A29="","",SUMIFS(Saisie!$E$2:$E$501,Saisie!$C$2:$C$501,$A29,Saisie!$A$2:$A$501,"&gt;="&amp;DATE(Annee,2,1),Saisie!$A$2:$A$501,"&lt;"&amp;DATE(Annee,3,1)))</f>
        <v/>
      </c>
      <c r="D29">
        <f>IF($A29="","",SUMIFS(Saisie!$E$2:$E$501,Saisie!$C$2:$C$501,$A29,Saisie!$A$2:$A$501,"&gt;="&amp;DATE(Annee,3,1),Saisie!$A$2:$A$501,"&lt;"&amp;DATE(Annee,4,1)))</f>
        <v/>
      </c>
      <c r="E29">
        <f>IF($A29="","",SUMIFS(Saisie!$E$2:$E$501,Saisie!$C$2:$C$501,$A29,Saisie!$A$2:$A$501,"&gt;="&amp;DATE(Annee,4,1),Saisie!$A$2:$A$501,"&lt;"&amp;DATE(Annee,5,1)))</f>
        <v/>
      </c>
      <c r="F29">
        <f>IF($A29="","",SUMIFS(Saisie!$E$2:$E$501,Saisie!$C$2:$C$501,$A29,Saisie!$A$2:$A$501,"&gt;="&amp;DATE(Annee,5,1),Saisie!$A$2:$A$501,"&lt;"&amp;DATE(Annee,6,1)))</f>
        <v/>
      </c>
      <c r="G29">
        <f>IF($A29="","",SUMIFS(Saisie!$E$2:$E$501,Saisie!$C$2:$C$501,$A29,Saisie!$A$2:$A$501,"&gt;="&amp;DATE(Annee,6,1),Saisie!$A$2:$A$501,"&lt;"&amp;DATE(Annee,7,1)))</f>
        <v/>
      </c>
      <c r="H29">
        <f>IF($A29="","",SUMIFS(Saisie!$E$2:$E$501,Saisie!$C$2:$C$501,$A29,Saisie!$A$2:$A$501,"&gt;="&amp;DATE(Annee,7,1),Saisie!$A$2:$A$501,"&lt;"&amp;DATE(Annee,8,1)))</f>
        <v/>
      </c>
      <c r="I29">
        <f>IF($A29="","",SUMIFS(Saisie!$E$2:$E$501,Saisie!$C$2:$C$501,$A29,Saisie!$A$2:$A$501,"&gt;="&amp;DATE(Annee,8,1),Saisie!$A$2:$A$501,"&lt;"&amp;DATE(Annee,9,1)))</f>
        <v/>
      </c>
      <c r="J29">
        <f>IF($A29="","",SUMIFS(Saisie!$E$2:$E$501,Saisie!$C$2:$C$501,$A29,Saisie!$A$2:$A$501,"&gt;="&amp;DATE(Annee,9,1),Saisie!$A$2:$A$501,"&lt;"&amp;DATE(Annee,10,1)))</f>
        <v/>
      </c>
      <c r="K29">
        <f>IF($A29="","",SUMIFS(Saisie!$E$2:$E$501,Saisie!$C$2:$C$501,$A29,Saisie!$A$2:$A$501,"&gt;="&amp;DATE(Annee,10,1),Saisie!$A$2:$A$501,"&lt;"&amp;DATE(Annee,11,1)))</f>
        <v/>
      </c>
      <c r="L29">
        <f>IF($A29="","",SUMIFS(Saisie!$E$2:$E$501,Saisie!$C$2:$C$501,$A29,Saisie!$A$2:$A$501,"&gt;="&amp;DATE(Annee,11,1),Saisie!$A$2:$A$501,"&lt;"&amp;DATE(Annee,12,1)))</f>
        <v/>
      </c>
      <c r="M29">
        <f>IF($A29="","",SUMIFS(Saisie!$E$2:$E$501,Saisie!$C$2:$C$501,$A29,Saisie!$A$2:$A$501,"&gt;="&amp;DATE(Annee,12,1),Saisie!$A$2:$A$501,"&lt;"&amp;DATE(Annee,13,1)))</f>
        <v/>
      </c>
      <c r="N29" s="5">
        <f>IF($A29="","",SUM(B29:M29))</f>
        <v/>
      </c>
    </row>
    <row r="30">
      <c r="A30">
        <f>IF(INDEX(Liste_Projets,26)="","",INDEX(Liste_Projets,26))</f>
        <v/>
      </c>
      <c r="B30">
        <f>IF($A30="","",SUMIFS(Saisie!$E$2:$E$501,Saisie!$C$2:$C$501,$A30,Saisie!$A$2:$A$501,"&gt;="&amp;DATE(Annee,1,1),Saisie!$A$2:$A$501,"&lt;"&amp;DATE(Annee,2,1)))</f>
        <v/>
      </c>
      <c r="C30">
        <f>IF($A30="","",SUMIFS(Saisie!$E$2:$E$501,Saisie!$C$2:$C$501,$A30,Saisie!$A$2:$A$501,"&gt;="&amp;DATE(Annee,2,1),Saisie!$A$2:$A$501,"&lt;"&amp;DATE(Annee,3,1)))</f>
        <v/>
      </c>
      <c r="D30">
        <f>IF($A30="","",SUMIFS(Saisie!$E$2:$E$501,Saisie!$C$2:$C$501,$A30,Saisie!$A$2:$A$501,"&gt;="&amp;DATE(Annee,3,1),Saisie!$A$2:$A$501,"&lt;"&amp;DATE(Annee,4,1)))</f>
        <v/>
      </c>
      <c r="E30">
        <f>IF($A30="","",SUMIFS(Saisie!$E$2:$E$501,Saisie!$C$2:$C$501,$A30,Saisie!$A$2:$A$501,"&gt;="&amp;DATE(Annee,4,1),Saisie!$A$2:$A$501,"&lt;"&amp;DATE(Annee,5,1)))</f>
        <v/>
      </c>
      <c r="F30">
        <f>IF($A30="","",SUMIFS(Saisie!$E$2:$E$501,Saisie!$C$2:$C$501,$A30,Saisie!$A$2:$A$501,"&gt;="&amp;DATE(Annee,5,1),Saisie!$A$2:$A$501,"&lt;"&amp;DATE(Annee,6,1)))</f>
        <v/>
      </c>
      <c r="G30">
        <f>IF($A30="","",SUMIFS(Saisie!$E$2:$E$501,Saisie!$C$2:$C$501,$A30,Saisie!$A$2:$A$501,"&gt;="&amp;DATE(Annee,6,1),Saisie!$A$2:$A$501,"&lt;"&amp;DATE(Annee,7,1)))</f>
        <v/>
      </c>
      <c r="H30">
        <f>IF($A30="","",SUMIFS(Saisie!$E$2:$E$501,Saisie!$C$2:$C$501,$A30,Saisie!$A$2:$A$501,"&gt;="&amp;DATE(Annee,7,1),Saisie!$A$2:$A$501,"&lt;"&amp;DATE(Annee,8,1)))</f>
        <v/>
      </c>
      <c r="I30">
        <f>IF($A30="","",SUMIFS(Saisie!$E$2:$E$501,Saisie!$C$2:$C$501,$A30,Saisie!$A$2:$A$501,"&gt;="&amp;DATE(Annee,8,1),Saisie!$A$2:$A$501,"&lt;"&amp;DATE(Annee,9,1)))</f>
        <v/>
      </c>
      <c r="J30">
        <f>IF($A30="","",SUMIFS(Saisie!$E$2:$E$501,Saisie!$C$2:$C$501,$A30,Saisie!$A$2:$A$501,"&gt;="&amp;DATE(Annee,9,1),Saisie!$A$2:$A$501,"&lt;"&amp;DATE(Annee,10,1)))</f>
        <v/>
      </c>
      <c r="K30">
        <f>IF($A30="","",SUMIFS(Saisie!$E$2:$E$501,Saisie!$C$2:$C$501,$A30,Saisie!$A$2:$A$501,"&gt;="&amp;DATE(Annee,10,1),Saisie!$A$2:$A$501,"&lt;"&amp;DATE(Annee,11,1)))</f>
        <v/>
      </c>
      <c r="L30">
        <f>IF($A30="","",SUMIFS(Saisie!$E$2:$E$501,Saisie!$C$2:$C$501,$A30,Saisie!$A$2:$A$501,"&gt;="&amp;DATE(Annee,11,1),Saisie!$A$2:$A$501,"&lt;"&amp;DATE(Annee,12,1)))</f>
        <v/>
      </c>
      <c r="M30">
        <f>IF($A30="","",SUMIFS(Saisie!$E$2:$E$501,Saisie!$C$2:$C$501,$A30,Saisie!$A$2:$A$501,"&gt;="&amp;DATE(Annee,12,1),Saisie!$A$2:$A$501,"&lt;"&amp;DATE(Annee,13,1)))</f>
        <v/>
      </c>
      <c r="N30" s="5">
        <f>IF($A30="","",SUM(B30:M30))</f>
        <v/>
      </c>
    </row>
    <row r="31">
      <c r="A31">
        <f>IF(INDEX(Liste_Projets,27)="","",INDEX(Liste_Projets,27))</f>
        <v/>
      </c>
      <c r="B31">
        <f>IF($A31="","",SUMIFS(Saisie!$E$2:$E$501,Saisie!$C$2:$C$501,$A31,Saisie!$A$2:$A$501,"&gt;="&amp;DATE(Annee,1,1),Saisie!$A$2:$A$501,"&lt;"&amp;DATE(Annee,2,1)))</f>
        <v/>
      </c>
      <c r="C31">
        <f>IF($A31="","",SUMIFS(Saisie!$E$2:$E$501,Saisie!$C$2:$C$501,$A31,Saisie!$A$2:$A$501,"&gt;="&amp;DATE(Annee,2,1),Saisie!$A$2:$A$501,"&lt;"&amp;DATE(Annee,3,1)))</f>
        <v/>
      </c>
      <c r="D31">
        <f>IF($A31="","",SUMIFS(Saisie!$E$2:$E$501,Saisie!$C$2:$C$501,$A31,Saisie!$A$2:$A$501,"&gt;="&amp;DATE(Annee,3,1),Saisie!$A$2:$A$501,"&lt;"&amp;DATE(Annee,4,1)))</f>
        <v/>
      </c>
      <c r="E31">
        <f>IF($A31="","",SUMIFS(Saisie!$E$2:$E$501,Saisie!$C$2:$C$501,$A31,Saisie!$A$2:$A$501,"&gt;="&amp;DATE(Annee,4,1),Saisie!$A$2:$A$501,"&lt;"&amp;DATE(Annee,5,1)))</f>
        <v/>
      </c>
      <c r="F31">
        <f>IF($A31="","",SUMIFS(Saisie!$E$2:$E$501,Saisie!$C$2:$C$501,$A31,Saisie!$A$2:$A$501,"&gt;="&amp;DATE(Annee,5,1),Saisie!$A$2:$A$501,"&lt;"&amp;DATE(Annee,6,1)))</f>
        <v/>
      </c>
      <c r="G31">
        <f>IF($A31="","",SUMIFS(Saisie!$E$2:$E$501,Saisie!$C$2:$C$501,$A31,Saisie!$A$2:$A$501,"&gt;="&amp;DATE(Annee,6,1),Saisie!$A$2:$A$501,"&lt;"&amp;DATE(Annee,7,1)))</f>
        <v/>
      </c>
      <c r="H31">
        <f>IF($A31="","",SUMIFS(Saisie!$E$2:$E$501,Saisie!$C$2:$C$501,$A31,Saisie!$A$2:$A$501,"&gt;="&amp;DATE(Annee,7,1),Saisie!$A$2:$A$501,"&lt;"&amp;DATE(Annee,8,1)))</f>
        <v/>
      </c>
      <c r="I31">
        <f>IF($A31="","",SUMIFS(Saisie!$E$2:$E$501,Saisie!$C$2:$C$501,$A31,Saisie!$A$2:$A$501,"&gt;="&amp;DATE(Annee,8,1),Saisie!$A$2:$A$501,"&lt;"&amp;DATE(Annee,9,1)))</f>
        <v/>
      </c>
      <c r="J31">
        <f>IF($A31="","",SUMIFS(Saisie!$E$2:$E$501,Saisie!$C$2:$C$501,$A31,Saisie!$A$2:$A$501,"&gt;="&amp;DATE(Annee,9,1),Saisie!$A$2:$A$501,"&lt;"&amp;DATE(Annee,10,1)))</f>
        <v/>
      </c>
      <c r="K31">
        <f>IF($A31="","",SUMIFS(Saisie!$E$2:$E$501,Saisie!$C$2:$C$501,$A31,Saisie!$A$2:$A$501,"&gt;="&amp;DATE(Annee,10,1),Saisie!$A$2:$A$501,"&lt;"&amp;DATE(Annee,11,1)))</f>
        <v/>
      </c>
      <c r="L31">
        <f>IF($A31="","",SUMIFS(Saisie!$E$2:$E$501,Saisie!$C$2:$C$501,$A31,Saisie!$A$2:$A$501,"&gt;="&amp;DATE(Annee,11,1),Saisie!$A$2:$A$501,"&lt;"&amp;DATE(Annee,12,1)))</f>
        <v/>
      </c>
      <c r="M31">
        <f>IF($A31="","",SUMIFS(Saisie!$E$2:$E$501,Saisie!$C$2:$C$501,$A31,Saisie!$A$2:$A$501,"&gt;="&amp;DATE(Annee,12,1),Saisie!$A$2:$A$501,"&lt;"&amp;DATE(Annee,13,1)))</f>
        <v/>
      </c>
      <c r="N31" s="5">
        <f>IF($A31="","",SUM(B31:M31))</f>
        <v/>
      </c>
    </row>
    <row r="32">
      <c r="A32">
        <f>IF(INDEX(Liste_Projets,28)="","",INDEX(Liste_Projets,28))</f>
        <v/>
      </c>
      <c r="B32">
        <f>IF($A32="","",SUMIFS(Saisie!$E$2:$E$501,Saisie!$C$2:$C$501,$A32,Saisie!$A$2:$A$501,"&gt;="&amp;DATE(Annee,1,1),Saisie!$A$2:$A$501,"&lt;"&amp;DATE(Annee,2,1)))</f>
        <v/>
      </c>
      <c r="C32">
        <f>IF($A32="","",SUMIFS(Saisie!$E$2:$E$501,Saisie!$C$2:$C$501,$A32,Saisie!$A$2:$A$501,"&gt;="&amp;DATE(Annee,2,1),Saisie!$A$2:$A$501,"&lt;"&amp;DATE(Annee,3,1)))</f>
        <v/>
      </c>
      <c r="D32">
        <f>IF($A32="","",SUMIFS(Saisie!$E$2:$E$501,Saisie!$C$2:$C$501,$A32,Saisie!$A$2:$A$501,"&gt;="&amp;DATE(Annee,3,1),Saisie!$A$2:$A$501,"&lt;"&amp;DATE(Annee,4,1)))</f>
        <v/>
      </c>
      <c r="E32">
        <f>IF($A32="","",SUMIFS(Saisie!$E$2:$E$501,Saisie!$C$2:$C$501,$A32,Saisie!$A$2:$A$501,"&gt;="&amp;DATE(Annee,4,1),Saisie!$A$2:$A$501,"&lt;"&amp;DATE(Annee,5,1)))</f>
        <v/>
      </c>
      <c r="F32">
        <f>IF($A32="","",SUMIFS(Saisie!$E$2:$E$501,Saisie!$C$2:$C$501,$A32,Saisie!$A$2:$A$501,"&gt;="&amp;DATE(Annee,5,1),Saisie!$A$2:$A$501,"&lt;"&amp;DATE(Annee,6,1)))</f>
        <v/>
      </c>
      <c r="G32">
        <f>IF($A32="","",SUMIFS(Saisie!$E$2:$E$501,Saisie!$C$2:$C$501,$A32,Saisie!$A$2:$A$501,"&gt;="&amp;DATE(Annee,6,1),Saisie!$A$2:$A$501,"&lt;"&amp;DATE(Annee,7,1)))</f>
        <v/>
      </c>
      <c r="H32">
        <f>IF($A32="","",SUMIFS(Saisie!$E$2:$E$501,Saisie!$C$2:$C$501,$A32,Saisie!$A$2:$A$501,"&gt;="&amp;DATE(Annee,7,1),Saisie!$A$2:$A$501,"&lt;"&amp;DATE(Annee,8,1)))</f>
        <v/>
      </c>
      <c r="I32">
        <f>IF($A32="","",SUMIFS(Saisie!$E$2:$E$501,Saisie!$C$2:$C$501,$A32,Saisie!$A$2:$A$501,"&gt;="&amp;DATE(Annee,8,1),Saisie!$A$2:$A$501,"&lt;"&amp;DATE(Annee,9,1)))</f>
        <v/>
      </c>
      <c r="J32">
        <f>IF($A32="","",SUMIFS(Saisie!$E$2:$E$501,Saisie!$C$2:$C$501,$A32,Saisie!$A$2:$A$501,"&gt;="&amp;DATE(Annee,9,1),Saisie!$A$2:$A$501,"&lt;"&amp;DATE(Annee,10,1)))</f>
        <v/>
      </c>
      <c r="K32">
        <f>IF($A32="","",SUMIFS(Saisie!$E$2:$E$501,Saisie!$C$2:$C$501,$A32,Saisie!$A$2:$A$501,"&gt;="&amp;DATE(Annee,10,1),Saisie!$A$2:$A$501,"&lt;"&amp;DATE(Annee,11,1)))</f>
        <v/>
      </c>
      <c r="L32">
        <f>IF($A32="","",SUMIFS(Saisie!$E$2:$E$501,Saisie!$C$2:$C$501,$A32,Saisie!$A$2:$A$501,"&gt;="&amp;DATE(Annee,11,1),Saisie!$A$2:$A$501,"&lt;"&amp;DATE(Annee,12,1)))</f>
        <v/>
      </c>
      <c r="M32">
        <f>IF($A32="","",SUMIFS(Saisie!$E$2:$E$501,Saisie!$C$2:$C$501,$A32,Saisie!$A$2:$A$501,"&gt;="&amp;DATE(Annee,12,1),Saisie!$A$2:$A$501,"&lt;"&amp;DATE(Annee,13,1)))</f>
        <v/>
      </c>
      <c r="N32" s="5">
        <f>IF($A32="","",SUM(B32:M32))</f>
        <v/>
      </c>
    </row>
    <row r="33">
      <c r="A33">
        <f>IF(INDEX(Liste_Projets,29)="","",INDEX(Liste_Projets,29))</f>
        <v/>
      </c>
      <c r="B33">
        <f>IF($A33="","",SUMIFS(Saisie!$E$2:$E$501,Saisie!$C$2:$C$501,$A33,Saisie!$A$2:$A$501,"&gt;="&amp;DATE(Annee,1,1),Saisie!$A$2:$A$501,"&lt;"&amp;DATE(Annee,2,1)))</f>
        <v/>
      </c>
      <c r="C33">
        <f>IF($A33="","",SUMIFS(Saisie!$E$2:$E$501,Saisie!$C$2:$C$501,$A33,Saisie!$A$2:$A$501,"&gt;="&amp;DATE(Annee,2,1),Saisie!$A$2:$A$501,"&lt;"&amp;DATE(Annee,3,1)))</f>
        <v/>
      </c>
      <c r="D33">
        <f>IF($A33="","",SUMIFS(Saisie!$E$2:$E$501,Saisie!$C$2:$C$501,$A33,Saisie!$A$2:$A$501,"&gt;="&amp;DATE(Annee,3,1),Saisie!$A$2:$A$501,"&lt;"&amp;DATE(Annee,4,1)))</f>
        <v/>
      </c>
      <c r="E33">
        <f>IF($A33="","",SUMIFS(Saisie!$E$2:$E$501,Saisie!$C$2:$C$501,$A33,Saisie!$A$2:$A$501,"&gt;="&amp;DATE(Annee,4,1),Saisie!$A$2:$A$501,"&lt;"&amp;DATE(Annee,5,1)))</f>
        <v/>
      </c>
      <c r="F33">
        <f>IF($A33="","",SUMIFS(Saisie!$E$2:$E$501,Saisie!$C$2:$C$501,$A33,Saisie!$A$2:$A$501,"&gt;="&amp;DATE(Annee,5,1),Saisie!$A$2:$A$501,"&lt;"&amp;DATE(Annee,6,1)))</f>
        <v/>
      </c>
      <c r="G33">
        <f>IF($A33="","",SUMIFS(Saisie!$E$2:$E$501,Saisie!$C$2:$C$501,$A33,Saisie!$A$2:$A$501,"&gt;="&amp;DATE(Annee,6,1),Saisie!$A$2:$A$501,"&lt;"&amp;DATE(Annee,7,1)))</f>
        <v/>
      </c>
      <c r="H33">
        <f>IF($A33="","",SUMIFS(Saisie!$E$2:$E$501,Saisie!$C$2:$C$501,$A33,Saisie!$A$2:$A$501,"&gt;="&amp;DATE(Annee,7,1),Saisie!$A$2:$A$501,"&lt;"&amp;DATE(Annee,8,1)))</f>
        <v/>
      </c>
      <c r="I33">
        <f>IF($A33="","",SUMIFS(Saisie!$E$2:$E$501,Saisie!$C$2:$C$501,$A33,Saisie!$A$2:$A$501,"&gt;="&amp;DATE(Annee,8,1),Saisie!$A$2:$A$501,"&lt;"&amp;DATE(Annee,9,1)))</f>
        <v/>
      </c>
      <c r="J33">
        <f>IF($A33="","",SUMIFS(Saisie!$E$2:$E$501,Saisie!$C$2:$C$501,$A33,Saisie!$A$2:$A$501,"&gt;="&amp;DATE(Annee,9,1),Saisie!$A$2:$A$501,"&lt;"&amp;DATE(Annee,10,1)))</f>
        <v/>
      </c>
      <c r="K33">
        <f>IF($A33="","",SUMIFS(Saisie!$E$2:$E$501,Saisie!$C$2:$C$501,$A33,Saisie!$A$2:$A$501,"&gt;="&amp;DATE(Annee,10,1),Saisie!$A$2:$A$501,"&lt;"&amp;DATE(Annee,11,1)))</f>
        <v/>
      </c>
      <c r="L33">
        <f>IF($A33="","",SUMIFS(Saisie!$E$2:$E$501,Saisie!$C$2:$C$501,$A33,Saisie!$A$2:$A$501,"&gt;="&amp;DATE(Annee,11,1),Saisie!$A$2:$A$501,"&lt;"&amp;DATE(Annee,12,1)))</f>
        <v/>
      </c>
      <c r="M33">
        <f>IF($A33="","",SUMIFS(Saisie!$E$2:$E$501,Saisie!$C$2:$C$501,$A33,Saisie!$A$2:$A$501,"&gt;="&amp;DATE(Annee,12,1),Saisie!$A$2:$A$501,"&lt;"&amp;DATE(Annee,13,1)))</f>
        <v/>
      </c>
      <c r="N33" s="5">
        <f>IF($A33="","",SUM(B33:M33))</f>
        <v/>
      </c>
    </row>
    <row r="34">
      <c r="A34">
        <f>IF(INDEX(Liste_Projets,30)="","",INDEX(Liste_Projets,30))</f>
        <v/>
      </c>
      <c r="B34">
        <f>IF($A34="","",SUMIFS(Saisie!$E$2:$E$501,Saisie!$C$2:$C$501,$A34,Saisie!$A$2:$A$501,"&gt;="&amp;DATE(Annee,1,1),Saisie!$A$2:$A$501,"&lt;"&amp;DATE(Annee,2,1)))</f>
        <v/>
      </c>
      <c r="C34">
        <f>IF($A34="","",SUMIFS(Saisie!$E$2:$E$501,Saisie!$C$2:$C$501,$A34,Saisie!$A$2:$A$501,"&gt;="&amp;DATE(Annee,2,1),Saisie!$A$2:$A$501,"&lt;"&amp;DATE(Annee,3,1)))</f>
        <v/>
      </c>
      <c r="D34">
        <f>IF($A34="","",SUMIFS(Saisie!$E$2:$E$501,Saisie!$C$2:$C$501,$A34,Saisie!$A$2:$A$501,"&gt;="&amp;DATE(Annee,3,1),Saisie!$A$2:$A$501,"&lt;"&amp;DATE(Annee,4,1)))</f>
        <v/>
      </c>
      <c r="E34">
        <f>IF($A34="","",SUMIFS(Saisie!$E$2:$E$501,Saisie!$C$2:$C$501,$A34,Saisie!$A$2:$A$501,"&gt;="&amp;DATE(Annee,4,1),Saisie!$A$2:$A$501,"&lt;"&amp;DATE(Annee,5,1)))</f>
        <v/>
      </c>
      <c r="F34">
        <f>IF($A34="","",SUMIFS(Saisie!$E$2:$E$501,Saisie!$C$2:$C$501,$A34,Saisie!$A$2:$A$501,"&gt;="&amp;DATE(Annee,5,1),Saisie!$A$2:$A$501,"&lt;"&amp;DATE(Annee,6,1)))</f>
        <v/>
      </c>
      <c r="G34">
        <f>IF($A34="","",SUMIFS(Saisie!$E$2:$E$501,Saisie!$C$2:$C$501,$A34,Saisie!$A$2:$A$501,"&gt;="&amp;DATE(Annee,6,1),Saisie!$A$2:$A$501,"&lt;"&amp;DATE(Annee,7,1)))</f>
        <v/>
      </c>
      <c r="H34">
        <f>IF($A34="","",SUMIFS(Saisie!$E$2:$E$501,Saisie!$C$2:$C$501,$A34,Saisie!$A$2:$A$501,"&gt;="&amp;DATE(Annee,7,1),Saisie!$A$2:$A$501,"&lt;"&amp;DATE(Annee,8,1)))</f>
        <v/>
      </c>
      <c r="I34">
        <f>IF($A34="","",SUMIFS(Saisie!$E$2:$E$501,Saisie!$C$2:$C$501,$A34,Saisie!$A$2:$A$501,"&gt;="&amp;DATE(Annee,8,1),Saisie!$A$2:$A$501,"&lt;"&amp;DATE(Annee,9,1)))</f>
        <v/>
      </c>
      <c r="J34">
        <f>IF($A34="","",SUMIFS(Saisie!$E$2:$E$501,Saisie!$C$2:$C$501,$A34,Saisie!$A$2:$A$501,"&gt;="&amp;DATE(Annee,9,1),Saisie!$A$2:$A$501,"&lt;"&amp;DATE(Annee,10,1)))</f>
        <v/>
      </c>
      <c r="K34">
        <f>IF($A34="","",SUMIFS(Saisie!$E$2:$E$501,Saisie!$C$2:$C$501,$A34,Saisie!$A$2:$A$501,"&gt;="&amp;DATE(Annee,10,1),Saisie!$A$2:$A$501,"&lt;"&amp;DATE(Annee,11,1)))</f>
        <v/>
      </c>
      <c r="L34">
        <f>IF($A34="","",SUMIFS(Saisie!$E$2:$E$501,Saisie!$C$2:$C$501,$A34,Saisie!$A$2:$A$501,"&gt;="&amp;DATE(Annee,11,1),Saisie!$A$2:$A$501,"&lt;"&amp;DATE(Annee,12,1)))</f>
        <v/>
      </c>
      <c r="M34">
        <f>IF($A34="","",SUMIFS(Saisie!$E$2:$E$501,Saisie!$C$2:$C$501,$A34,Saisie!$A$2:$A$501,"&gt;="&amp;DATE(Annee,12,1),Saisie!$A$2:$A$501,"&lt;"&amp;DATE(Annee,13,1)))</f>
        <v/>
      </c>
      <c r="N34" s="5">
        <f>IF($A34="","",SUM(B34:M34))</f>
        <v/>
      </c>
    </row>
    <row r="35">
      <c r="A35" s="5" t="inlineStr">
        <is>
          <t>Total</t>
        </is>
      </c>
      <c r="B35" s="5">
        <f>SUM(B5:B34)</f>
        <v/>
      </c>
      <c r="C35" s="5">
        <f>SUM(C5:C34)</f>
        <v/>
      </c>
      <c r="D35" s="5">
        <f>SUM(D5:D34)</f>
        <v/>
      </c>
      <c r="E35" s="5">
        <f>SUM(E5:E34)</f>
        <v/>
      </c>
      <c r="F35" s="5">
        <f>SUM(F5:F34)</f>
        <v/>
      </c>
      <c r="G35" s="5">
        <f>SUM(G5:G34)</f>
        <v/>
      </c>
      <c r="H35" s="5">
        <f>SUM(H5:H34)</f>
        <v/>
      </c>
      <c r="I35" s="5">
        <f>SUM(I5:I34)</f>
        <v/>
      </c>
      <c r="J35" s="5">
        <f>SUM(J5:J34)</f>
        <v/>
      </c>
      <c r="K35" s="5">
        <f>SUM(K5:K34)</f>
        <v/>
      </c>
      <c r="L35" s="5">
        <f>SUM(L5:L34)</f>
        <v/>
      </c>
      <c r="M35" s="5">
        <f>SUM(M5:M34)</f>
        <v/>
      </c>
      <c r="N35" s="5">
        <f>SUM(N5:N34)</f>
        <v/>
      </c>
    </row>
    <row r="37">
      <c r="A37" s="5" t="inlineStr">
        <is>
          <t>Heures par personne</t>
        </is>
      </c>
    </row>
    <row r="38">
      <c r="A38" s="1" t="inlineStr">
        <is>
          <t>Personne</t>
        </is>
      </c>
      <c r="B38" s="1" t="inlineStr">
        <is>
          <t>Heures (année)</t>
        </is>
      </c>
      <c r="C38" s="1" t="inlineStr">
        <is>
          <t>Part</t>
        </is>
      </c>
    </row>
    <row r="39">
      <c r="A39">
        <f>IF(INDEX(Liste_Personnes,1)="","",INDEX(Liste_Personnes,1))</f>
        <v/>
      </c>
      <c r="B39">
        <f>IF($A39="","",SUMIFS(Saisie!$E$2:$E$501,Saisie!$B$2:$B$501,$A39,Saisie!$A$2:$A$501,"&gt;="&amp;DATE(Annee,1,1),Saisie!$A$2:$A$501,"&lt;"&amp;DATE(Annee+1,1,1)))</f>
        <v/>
      </c>
      <c r="C39" s="6">
        <f>IF(OR($A39="",SUM($B$39:$B$68)=0),"",B39/SUM($B$39:$B$68))</f>
        <v/>
      </c>
    </row>
    <row r="40">
      <c r="A40">
        <f>IF(INDEX(Liste_Personnes,2)="","",INDEX(Liste_Personnes,2))</f>
        <v/>
      </c>
      <c r="B40">
        <f>IF($A40="","",SUMIFS(Saisie!$E$2:$E$501,Saisie!$B$2:$B$501,$A40,Saisie!$A$2:$A$501,"&gt;="&amp;DATE(Annee,1,1),Saisie!$A$2:$A$501,"&lt;"&amp;DATE(Annee+1,1,1)))</f>
        <v/>
      </c>
      <c r="C40" s="6">
        <f>IF(OR($A40="",SUM($B$39:$B$68)=0),"",B40/SUM($B$39:$B$68))</f>
        <v/>
      </c>
    </row>
    <row r="41">
      <c r="A41">
        <f>IF(INDEX(Liste_Personnes,3)="","",INDEX(Liste_Personnes,3))</f>
        <v/>
      </c>
      <c r="B41">
        <f>IF($A41="","",SUMIFS(Saisie!$E$2:$E$501,Saisie!$B$2:$B$501,$A41,Saisie!$A$2:$A$501,"&gt;="&amp;DATE(Annee,1,1),Saisie!$A$2:$A$501,"&lt;"&amp;DATE(Annee+1,1,1)))</f>
        <v/>
      </c>
      <c r="C41" s="6">
        <f>IF(OR($A41="",SUM($B$39:$B$68)=0),"",B41/SUM($B$39:$B$68))</f>
        <v/>
      </c>
    </row>
    <row r="42">
      <c r="A42">
        <f>IF(INDEX(Liste_Personnes,4)="","",INDEX(Liste_Personnes,4))</f>
        <v/>
      </c>
      <c r="B42">
        <f>IF($A42="","",SUMIFS(Saisie!$E$2:$E$501,Saisie!$B$2:$B$501,$A42,Saisie!$A$2:$A$501,"&gt;="&amp;DATE(Annee,1,1),Saisie!$A$2:$A$501,"&lt;"&amp;DATE(Annee+1,1,1)))</f>
        <v/>
      </c>
      <c r="C42" s="6">
        <f>IF(OR($A42="",SUM($B$39:$B$68)=0),"",B42/SUM($B$39:$B$68))</f>
        <v/>
      </c>
    </row>
    <row r="43">
      <c r="A43">
        <f>IF(INDEX(Liste_Personnes,5)="","",INDEX(Liste_Personnes,5))</f>
        <v/>
      </c>
      <c r="B43">
        <f>IF($A43="","",SUMIFS(Saisie!$E$2:$E$501,Saisie!$B$2:$B$501,$A43,Saisie!$A$2:$A$501,"&gt;="&amp;DATE(Annee,1,1),Saisie!$A$2:$A$501,"&lt;"&amp;DATE(Annee+1,1,1)))</f>
        <v/>
      </c>
      <c r="C43" s="6">
        <f>IF(OR($A43="",SUM($B$39:$B$68)=0),"",B43/SUM($B$39:$B$68))</f>
        <v/>
      </c>
    </row>
    <row r="44">
      <c r="A44">
        <f>IF(INDEX(Liste_Personnes,6)="","",INDEX(Liste_Personnes,6))</f>
        <v/>
      </c>
      <c r="B44">
        <f>IF($A44="","",SUMIFS(Saisie!$E$2:$E$501,Saisie!$B$2:$B$501,$A44,Saisie!$A$2:$A$501,"&gt;="&amp;DATE(Annee,1,1),Saisie!$A$2:$A$501,"&lt;"&amp;DATE(Annee+1,1,1)))</f>
        <v/>
      </c>
      <c r="C44" s="6">
        <f>IF(OR($A44="",SUM($B$39:$B$68)=0),"",B44/SUM($B$39:$B$68))</f>
        <v/>
      </c>
    </row>
    <row r="45">
      <c r="A45">
        <f>IF(INDEX(Liste_Personnes,7)="","",INDEX(Liste_Personnes,7))</f>
        <v/>
      </c>
      <c r="B45">
        <f>IF($A45="","",SUMIFS(Saisie!$E$2:$E$501,Saisie!$B$2:$B$501,$A45,Saisie!$A$2:$A$501,"&gt;="&amp;DATE(Annee,1,1),Saisie!$A$2:$A$501,"&lt;"&amp;DATE(Annee+1,1,1)))</f>
        <v/>
      </c>
      <c r="C45" s="6">
        <f>IF(OR($A45="",SUM($B$39:$B$68)=0),"",B45/SUM($B$39:$B$68))</f>
        <v/>
      </c>
    </row>
    <row r="46">
      <c r="A46">
        <f>IF(INDEX(Liste_Personnes,8)="","",INDEX(Liste_Personnes,8))</f>
        <v/>
      </c>
      <c r="B46">
        <f>IF($A46="","",SUMIFS(Saisie!$E$2:$E$501,Saisie!$B$2:$B$501,$A46,Saisie!$A$2:$A$501,"&gt;="&amp;DATE(Annee,1,1),Saisie!$A$2:$A$501,"&lt;"&amp;DATE(Annee+1,1,1)))</f>
        <v/>
      </c>
      <c r="C46" s="6">
        <f>IF(OR($A46="",SUM($B$39:$B$68)=0),"",B46/SUM($B$39:$B$68))</f>
        <v/>
      </c>
    </row>
    <row r="47">
      <c r="A47">
        <f>IF(INDEX(Liste_Personnes,9)="","",INDEX(Liste_Personnes,9))</f>
        <v/>
      </c>
      <c r="B47">
        <f>IF($A47="","",SUMIFS(Saisie!$E$2:$E$501,Saisie!$B$2:$B$501,$A47,Saisie!$A$2:$A$501,"&gt;="&amp;DATE(Annee,1,1),Saisie!$A$2:$A$501,"&lt;"&amp;DATE(Annee+1,1,1)))</f>
        <v/>
      </c>
      <c r="C47" s="6">
        <f>IF(OR($A47="",SUM($B$39:$B$68)=0),"",B47/SUM($B$39:$B$68))</f>
        <v/>
      </c>
    </row>
    <row r="48">
      <c r="A48">
        <f>IF(INDEX(Liste_Personnes,10)="","",INDEX(Liste_Personnes,10))</f>
        <v/>
      </c>
      <c r="B48">
        <f>IF($A48="","",SUMIFS(Saisie!$E$2:$E$501,Saisie!$B$2:$B$501,$A48,Saisie!$A$2:$A$501,"&gt;="&amp;DATE(Annee,1,1),Saisie!$A$2:$A$501,"&lt;"&amp;DATE(Annee+1,1,1)))</f>
        <v/>
      </c>
      <c r="C48" s="6">
        <f>IF(OR($A48="",SUM($B$39:$B$68)=0),"",B48/SUM($B$39:$B$68))</f>
        <v/>
      </c>
    </row>
    <row r="49">
      <c r="A49">
        <f>IF(INDEX(Liste_Personnes,11)="","",INDEX(Liste_Personnes,11))</f>
        <v/>
      </c>
      <c r="B49">
        <f>IF($A49="","",SUMIFS(Saisie!$E$2:$E$501,Saisie!$B$2:$B$501,$A49,Saisie!$A$2:$A$501,"&gt;="&amp;DATE(Annee,1,1),Saisie!$A$2:$A$501,"&lt;"&amp;DATE(Annee+1,1,1)))</f>
        <v/>
      </c>
      <c r="C49" s="6">
        <f>IF(OR($A49="",SUM($B$39:$B$68)=0),"",B49/SUM($B$39:$B$68))</f>
        <v/>
      </c>
    </row>
    <row r="50">
      <c r="A50">
        <f>IF(INDEX(Liste_Personnes,12)="","",INDEX(Liste_Personnes,12))</f>
        <v/>
      </c>
      <c r="B50">
        <f>IF($A50="","",SUMIFS(Saisie!$E$2:$E$501,Saisie!$B$2:$B$501,$A50,Saisie!$A$2:$A$501,"&gt;="&amp;DATE(Annee,1,1),Saisie!$A$2:$A$501,"&lt;"&amp;DATE(Annee+1,1,1)))</f>
        <v/>
      </c>
      <c r="C50" s="6">
        <f>IF(OR($A50="",SUM($B$39:$B$68)=0),"",B50/SUM($B$39:$B$68))</f>
        <v/>
      </c>
    </row>
    <row r="51">
      <c r="A51">
        <f>IF(INDEX(Liste_Personnes,13)="","",INDEX(Liste_Personnes,13))</f>
        <v/>
      </c>
      <c r="B51">
        <f>IF($A51="","",SUMIFS(Saisie!$E$2:$E$501,Saisie!$B$2:$B$501,$A51,Saisie!$A$2:$A$501,"&gt;="&amp;DATE(Annee,1,1),Saisie!$A$2:$A$501,"&lt;"&amp;DATE(Annee+1,1,1)))</f>
        <v/>
      </c>
      <c r="C51" s="6">
        <f>IF(OR($A51="",SUM($B$39:$B$68)=0),"",B51/SUM($B$39:$B$68))</f>
        <v/>
      </c>
    </row>
    <row r="52">
      <c r="A52">
        <f>IF(INDEX(Liste_Personnes,14)="","",INDEX(Liste_Personnes,14))</f>
        <v/>
      </c>
      <c r="B52">
        <f>IF($A52="","",SUMIFS(Saisie!$E$2:$E$501,Saisie!$B$2:$B$501,$A52,Saisie!$A$2:$A$501,"&gt;="&amp;DATE(Annee,1,1),Saisie!$A$2:$A$501,"&lt;"&amp;DATE(Annee+1,1,1)))</f>
        <v/>
      </c>
      <c r="C52" s="6">
        <f>IF(OR($A52="",SUM($B$39:$B$68)=0),"",B52/SUM($B$39:$B$68))</f>
        <v/>
      </c>
    </row>
    <row r="53">
      <c r="A53">
        <f>IF(INDEX(Liste_Personnes,15)="","",INDEX(Liste_Personnes,15))</f>
        <v/>
      </c>
      <c r="B53">
        <f>IF($A53="","",SUMIFS(Saisie!$E$2:$E$501,Saisie!$B$2:$B$501,$A53,Saisie!$A$2:$A$501,"&gt;="&amp;DATE(Annee,1,1),Saisie!$A$2:$A$501,"&lt;"&amp;DATE(Annee+1,1,1)))</f>
        <v/>
      </c>
      <c r="C53" s="6">
        <f>IF(OR($A53="",SUM($B$39:$B$68)=0),"",B53/SUM($B$39:$B$68))</f>
        <v/>
      </c>
    </row>
    <row r="54">
      <c r="A54">
        <f>IF(INDEX(Liste_Personnes,16)="","",INDEX(Liste_Personnes,16))</f>
        <v/>
      </c>
      <c r="B54">
        <f>IF($A54="","",SUMIFS(Saisie!$E$2:$E$501,Saisie!$B$2:$B$501,$A54,Saisie!$A$2:$A$501,"&gt;="&amp;DATE(Annee,1,1),Saisie!$A$2:$A$501,"&lt;"&amp;DATE(Annee+1,1,1)))</f>
        <v/>
      </c>
      <c r="C54" s="6">
        <f>IF(OR($A54="",SUM($B$39:$B$68)=0),"",B54/SUM($B$39:$B$68))</f>
        <v/>
      </c>
    </row>
    <row r="55">
      <c r="A55">
        <f>IF(INDEX(Liste_Personnes,17)="","",INDEX(Liste_Personnes,17))</f>
        <v/>
      </c>
      <c r="B55">
        <f>IF($A55="","",SUMIFS(Saisie!$E$2:$E$501,Saisie!$B$2:$B$501,$A55,Saisie!$A$2:$A$501,"&gt;="&amp;DATE(Annee,1,1),Saisie!$A$2:$A$501,"&lt;"&amp;DATE(Annee+1,1,1)))</f>
        <v/>
      </c>
      <c r="C55" s="6">
        <f>IF(OR($A55="",SUM($B$39:$B$68)=0),"",B55/SUM($B$39:$B$68))</f>
        <v/>
      </c>
    </row>
    <row r="56">
      <c r="A56">
        <f>IF(INDEX(Liste_Personnes,18)="","",INDEX(Liste_Personnes,18))</f>
        <v/>
      </c>
      <c r="B56">
        <f>IF($A56="","",SUMIFS(Saisie!$E$2:$E$501,Saisie!$B$2:$B$501,$A56,Saisie!$A$2:$A$501,"&gt;="&amp;DATE(Annee,1,1),Saisie!$A$2:$A$501,"&lt;"&amp;DATE(Annee+1,1,1)))</f>
        <v/>
      </c>
      <c r="C56" s="6">
        <f>IF(OR($A56="",SUM($B$39:$B$68)=0),"",B56/SUM($B$39:$B$68))</f>
        <v/>
      </c>
    </row>
    <row r="57">
      <c r="A57">
        <f>IF(INDEX(Liste_Personnes,19)="","",INDEX(Liste_Personnes,19))</f>
        <v/>
      </c>
      <c r="B57">
        <f>IF($A57="","",SUMIFS(Saisie!$E$2:$E$501,Saisie!$B$2:$B$501,$A57,Saisie!$A$2:$A$501,"&gt;="&amp;DATE(Annee,1,1),Saisie!$A$2:$A$501,"&lt;"&amp;DATE(Annee+1,1,1)))</f>
        <v/>
      </c>
      <c r="C57" s="6">
        <f>IF(OR($A57="",SUM($B$39:$B$68)=0),"",B57/SUM($B$39:$B$68))</f>
        <v/>
      </c>
    </row>
    <row r="58">
      <c r="A58">
        <f>IF(INDEX(Liste_Personnes,20)="","",INDEX(Liste_Personnes,20))</f>
        <v/>
      </c>
      <c r="B58">
        <f>IF($A58="","",SUMIFS(Saisie!$E$2:$E$501,Saisie!$B$2:$B$501,$A58,Saisie!$A$2:$A$501,"&gt;="&amp;DATE(Annee,1,1),Saisie!$A$2:$A$501,"&lt;"&amp;DATE(Annee+1,1,1)))</f>
        <v/>
      </c>
      <c r="C58" s="6">
        <f>IF(OR($A58="",SUM($B$39:$B$68)=0),"",B58/SUM($B$39:$B$68))</f>
        <v/>
      </c>
    </row>
    <row r="59">
      <c r="A59">
        <f>IF(INDEX(Liste_Personnes,21)="","",INDEX(Liste_Personnes,21))</f>
        <v/>
      </c>
      <c r="B59">
        <f>IF($A59="","",SUMIFS(Saisie!$E$2:$E$501,Saisie!$B$2:$B$501,$A59,Saisie!$A$2:$A$501,"&gt;="&amp;DATE(Annee,1,1),Saisie!$A$2:$A$501,"&lt;"&amp;DATE(Annee+1,1,1)))</f>
        <v/>
      </c>
      <c r="C59" s="6">
        <f>IF(OR($A59="",SUM($B$39:$B$68)=0),"",B59/SUM($B$39:$B$68))</f>
        <v/>
      </c>
    </row>
    <row r="60">
      <c r="A60">
        <f>IF(INDEX(Liste_Personnes,22)="","",INDEX(Liste_Personnes,22))</f>
        <v/>
      </c>
      <c r="B60">
        <f>IF($A60="","",SUMIFS(Saisie!$E$2:$E$501,Saisie!$B$2:$B$501,$A60,Saisie!$A$2:$A$501,"&gt;="&amp;DATE(Annee,1,1),Saisie!$A$2:$A$501,"&lt;"&amp;DATE(Annee+1,1,1)))</f>
        <v/>
      </c>
      <c r="C60" s="6">
        <f>IF(OR($A60="",SUM($B$39:$B$68)=0),"",B60/SUM($B$39:$B$68))</f>
        <v/>
      </c>
    </row>
    <row r="61">
      <c r="A61">
        <f>IF(INDEX(Liste_Personnes,23)="","",INDEX(Liste_Personnes,23))</f>
        <v/>
      </c>
      <c r="B61">
        <f>IF($A61="","",SUMIFS(Saisie!$E$2:$E$501,Saisie!$B$2:$B$501,$A61,Saisie!$A$2:$A$501,"&gt;="&amp;DATE(Annee,1,1),Saisie!$A$2:$A$501,"&lt;"&amp;DATE(Annee+1,1,1)))</f>
        <v/>
      </c>
      <c r="C61" s="6">
        <f>IF(OR($A61="",SUM($B$39:$B$68)=0),"",B61/SUM($B$39:$B$68))</f>
        <v/>
      </c>
    </row>
    <row r="62">
      <c r="A62">
        <f>IF(INDEX(Liste_Personnes,24)="","",INDEX(Liste_Personnes,24))</f>
        <v/>
      </c>
      <c r="B62">
        <f>IF($A62="","",SUMIFS(Saisie!$E$2:$E$501,Saisie!$B$2:$B$501,$A62,Saisie!$A$2:$A$501,"&gt;="&amp;DATE(Annee,1,1),Saisie!$A$2:$A$501,"&lt;"&amp;DATE(Annee+1,1,1)))</f>
        <v/>
      </c>
      <c r="C62" s="6">
        <f>IF(OR($A62="",SUM($B$39:$B$68)=0),"",B62/SUM($B$39:$B$68))</f>
        <v/>
      </c>
    </row>
    <row r="63">
      <c r="A63">
        <f>IF(INDEX(Liste_Personnes,25)="","",INDEX(Liste_Personnes,25))</f>
        <v/>
      </c>
      <c r="B63">
        <f>IF($A63="","",SUMIFS(Saisie!$E$2:$E$501,Saisie!$B$2:$B$501,$A63,Saisie!$A$2:$A$501,"&gt;="&amp;DATE(Annee,1,1),Saisie!$A$2:$A$501,"&lt;"&amp;DATE(Annee+1,1,1)))</f>
        <v/>
      </c>
      <c r="C63" s="6">
        <f>IF(OR($A63="",SUM($B$39:$B$68)=0),"",B63/SUM($B$39:$B$68))</f>
        <v/>
      </c>
    </row>
    <row r="64">
      <c r="A64">
        <f>IF(INDEX(Liste_Personnes,26)="","",INDEX(Liste_Personnes,26))</f>
        <v/>
      </c>
      <c r="B64">
        <f>IF($A64="","",SUMIFS(Saisie!$E$2:$E$501,Saisie!$B$2:$B$501,$A64,Saisie!$A$2:$A$501,"&gt;="&amp;DATE(Annee,1,1),Saisie!$A$2:$A$501,"&lt;"&amp;DATE(Annee+1,1,1)))</f>
        <v/>
      </c>
      <c r="C64" s="6">
        <f>IF(OR($A64="",SUM($B$39:$B$68)=0),"",B64/SUM($B$39:$B$68))</f>
        <v/>
      </c>
    </row>
    <row r="65">
      <c r="A65">
        <f>IF(INDEX(Liste_Personnes,27)="","",INDEX(Liste_Personnes,27))</f>
        <v/>
      </c>
      <c r="B65">
        <f>IF($A65="","",SUMIFS(Saisie!$E$2:$E$501,Saisie!$B$2:$B$501,$A65,Saisie!$A$2:$A$501,"&gt;="&amp;DATE(Annee,1,1),Saisie!$A$2:$A$501,"&lt;"&amp;DATE(Annee+1,1,1)))</f>
        <v/>
      </c>
      <c r="C65" s="6">
        <f>IF(OR($A65="",SUM($B$39:$B$68)=0),"",B65/SUM($B$39:$B$68))</f>
        <v/>
      </c>
    </row>
    <row r="66">
      <c r="A66">
        <f>IF(INDEX(Liste_Personnes,28)="","",INDEX(Liste_Personnes,28))</f>
        <v/>
      </c>
      <c r="B66">
        <f>IF($A66="","",SUMIFS(Saisie!$E$2:$E$501,Saisie!$B$2:$B$501,$A66,Saisie!$A$2:$A$501,"&gt;="&amp;DATE(Annee,1,1),Saisie!$A$2:$A$501,"&lt;"&amp;DATE(Annee+1,1,1)))</f>
        <v/>
      </c>
      <c r="C66" s="6">
        <f>IF(OR($A66="",SUM($B$39:$B$68)=0),"",B66/SUM($B$39:$B$68))</f>
        <v/>
      </c>
    </row>
    <row r="67">
      <c r="A67">
        <f>IF(INDEX(Liste_Personnes,29)="","",INDEX(Liste_Personnes,29))</f>
        <v/>
      </c>
      <c r="B67">
        <f>IF($A67="","",SUMIFS(Saisie!$E$2:$E$501,Saisie!$B$2:$B$501,$A67,Saisie!$A$2:$A$501,"&gt;="&amp;DATE(Annee,1,1),Saisie!$A$2:$A$501,"&lt;"&amp;DATE(Annee+1,1,1)))</f>
        <v/>
      </c>
      <c r="C67" s="6">
        <f>IF(OR($A67="",SUM($B$39:$B$68)=0),"",B67/SUM($B$39:$B$68))</f>
        <v/>
      </c>
    </row>
    <row r="68">
      <c r="A68">
        <f>IF(INDEX(Liste_Personnes,30)="","",INDEX(Liste_Personnes,30))</f>
        <v/>
      </c>
      <c r="B68">
        <f>IF($A68="","",SUMIFS(Saisie!$E$2:$E$501,Saisie!$B$2:$B$501,$A68,Saisie!$A$2:$A$501,"&gt;="&amp;DATE(Annee,1,1),Saisie!$A$2:$A$501,"&lt;"&amp;DATE(Annee+1,1,1)))</f>
        <v/>
      </c>
      <c r="C68" s="6">
        <f>IF(OR($A68="",SUM($B$39:$B$68)=0),"",B68/SUM($B$39:$B$68))</f>
        <v/>
      </c>
    </row>
    <row r="70">
      <c r="A70" s="7" t="inlineStr">
        <is>
          <t>Contrôle : heures saisies hors année ou sans projet/personne listé</t>
        </is>
      </c>
      <c r="N70" s="7">
        <f>SUM(Saisie!$E$2:$E$501)-N35</f>
        <v/>
      </c>
    </row>
  </sheetData>
  <conditionalFormatting sqref="B5:M34">
    <cfRule type="expression" priority="1" dxfId="0">
      <formula>AND(ISNUMBER(B5),B5&gt;0)</formula>
    </cfRule>
  </conditionalFormatting>
  <pageMargins left="0.5" right="0.5" top="1" bottom="1" header="0.5" footer="0.5"/>
  <pageSetup orientation="landscape" paperSize="9" fitToHeight="0" fitToWidth="1"/>
  <headerFooter>
    <oddHeader/>
    <oddFooter>&amp;C&amp;"Calibri"Page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Tableau croisé : personne × projet (année)</t>
        </is>
      </c>
    </row>
    <row r="2">
      <c r="A2" s="7" t="inlineStr">
        <is>
          <t>Sans tableau croisé dynamique : formules SUMIFS, 10 premières entrées des listes.</t>
        </is>
      </c>
    </row>
    <row r="4">
      <c r="A4" s="8" t="inlineStr">
        <is>
          <t>Personne \ Projet</t>
        </is>
      </c>
      <c r="B4" s="8">
        <f>IF(INDEX(Liste_Projets,1)="","",INDEX(Liste_Projets,1))</f>
        <v/>
      </c>
      <c r="C4" s="8">
        <f>IF(INDEX(Liste_Projets,2)="","",INDEX(Liste_Projets,2))</f>
        <v/>
      </c>
      <c r="D4" s="8">
        <f>IF(INDEX(Liste_Projets,3)="","",INDEX(Liste_Projets,3))</f>
        <v/>
      </c>
      <c r="E4" s="8">
        <f>IF(INDEX(Liste_Projets,4)="","",INDEX(Liste_Projets,4))</f>
        <v/>
      </c>
      <c r="F4" s="8">
        <f>IF(INDEX(Liste_Projets,5)="","",INDEX(Liste_Projets,5))</f>
        <v/>
      </c>
      <c r="G4" s="8">
        <f>IF(INDEX(Liste_Projets,6)="","",INDEX(Liste_Projets,6))</f>
        <v/>
      </c>
      <c r="H4" s="8">
        <f>IF(INDEX(Liste_Projets,7)="","",INDEX(Liste_Projets,7))</f>
        <v/>
      </c>
      <c r="I4" s="8">
        <f>IF(INDEX(Liste_Projets,8)="","",INDEX(Liste_Projets,8))</f>
        <v/>
      </c>
      <c r="J4" s="8">
        <f>IF(INDEX(Liste_Projets,9)="","",INDEX(Liste_Projets,9))</f>
        <v/>
      </c>
      <c r="K4" s="8">
        <f>IF(INDEX(Liste_Projets,10)="","",INDEX(Liste_Projets,10))</f>
        <v/>
      </c>
      <c r="L4" s="8" t="inlineStr">
        <is>
          <t>Total</t>
        </is>
      </c>
    </row>
    <row r="5">
      <c r="A5" s="5">
        <f>IF(INDEX(Liste_Personnes,1)="","",INDEX(Liste_Personnes,1))</f>
        <v/>
      </c>
      <c r="B5">
        <f>IF(OR($A5="",B$4=""),"",SUMIFS(Saisie!$E$2:$E$501,Saisie!$B$2:$B$501,$A5,Saisie!$C$2:$C$501,B$4,Saisie!$A$2:$A$501,"&gt;="&amp;DATE(Annee,1,1),Saisie!$A$2:$A$501,"&lt;"&amp;DATE(Annee+1,1,1)))</f>
        <v/>
      </c>
      <c r="C5">
        <f>IF(OR($A5="",C$4=""),"",SUMIFS(Saisie!$E$2:$E$501,Saisie!$B$2:$B$501,$A5,Saisie!$C$2:$C$501,C$4,Saisie!$A$2:$A$501,"&gt;="&amp;DATE(Annee,1,1),Saisie!$A$2:$A$501,"&lt;"&amp;DATE(Annee+1,1,1)))</f>
        <v/>
      </c>
      <c r="D5">
        <f>IF(OR($A5="",D$4=""),"",SUMIFS(Saisie!$E$2:$E$501,Saisie!$B$2:$B$501,$A5,Saisie!$C$2:$C$501,D$4,Saisie!$A$2:$A$501,"&gt;="&amp;DATE(Annee,1,1),Saisie!$A$2:$A$501,"&lt;"&amp;DATE(Annee+1,1,1)))</f>
        <v/>
      </c>
      <c r="E5">
        <f>IF(OR($A5="",E$4=""),"",SUMIFS(Saisie!$E$2:$E$501,Saisie!$B$2:$B$501,$A5,Saisie!$C$2:$C$501,E$4,Saisie!$A$2:$A$501,"&gt;="&amp;DATE(Annee,1,1),Saisie!$A$2:$A$501,"&lt;"&amp;DATE(Annee+1,1,1)))</f>
        <v/>
      </c>
      <c r="F5">
        <f>IF(OR($A5="",F$4=""),"",SUMIFS(Saisie!$E$2:$E$501,Saisie!$B$2:$B$501,$A5,Saisie!$C$2:$C$501,F$4,Saisie!$A$2:$A$501,"&gt;="&amp;DATE(Annee,1,1),Saisie!$A$2:$A$501,"&lt;"&amp;DATE(Annee+1,1,1)))</f>
        <v/>
      </c>
      <c r="G5">
        <f>IF(OR($A5="",G$4=""),"",SUMIFS(Saisie!$E$2:$E$501,Saisie!$B$2:$B$501,$A5,Saisie!$C$2:$C$501,G$4,Saisie!$A$2:$A$501,"&gt;="&amp;DATE(Annee,1,1),Saisie!$A$2:$A$501,"&lt;"&amp;DATE(Annee+1,1,1)))</f>
        <v/>
      </c>
      <c r="H5">
        <f>IF(OR($A5="",H$4=""),"",SUMIFS(Saisie!$E$2:$E$501,Saisie!$B$2:$B$501,$A5,Saisie!$C$2:$C$501,H$4,Saisie!$A$2:$A$501,"&gt;="&amp;DATE(Annee,1,1),Saisie!$A$2:$A$501,"&lt;"&amp;DATE(Annee+1,1,1)))</f>
        <v/>
      </c>
      <c r="I5">
        <f>IF(OR($A5="",I$4=""),"",SUMIFS(Saisie!$E$2:$E$501,Saisie!$B$2:$B$501,$A5,Saisie!$C$2:$C$501,I$4,Saisie!$A$2:$A$501,"&gt;="&amp;DATE(Annee,1,1),Saisie!$A$2:$A$501,"&lt;"&amp;DATE(Annee+1,1,1)))</f>
        <v/>
      </c>
      <c r="J5">
        <f>IF(OR($A5="",J$4=""),"",SUMIFS(Saisie!$E$2:$E$501,Saisie!$B$2:$B$501,$A5,Saisie!$C$2:$C$501,J$4,Saisie!$A$2:$A$501,"&gt;="&amp;DATE(Annee,1,1),Saisie!$A$2:$A$501,"&lt;"&amp;DATE(Annee+1,1,1)))</f>
        <v/>
      </c>
      <c r="K5">
        <f>IF(OR($A5="",K$4=""),"",SUMIFS(Saisie!$E$2:$E$501,Saisie!$B$2:$B$501,$A5,Saisie!$C$2:$C$501,K$4,Saisie!$A$2:$A$501,"&gt;="&amp;DATE(Annee,1,1),Saisie!$A$2:$A$501,"&lt;"&amp;DATE(Annee+1,1,1)))</f>
        <v/>
      </c>
      <c r="L5" s="5">
        <f>SUM(B5:K5)</f>
        <v/>
      </c>
    </row>
    <row r="6">
      <c r="A6" s="5">
        <f>IF(INDEX(Liste_Personnes,2)="","",INDEX(Liste_Personnes,2))</f>
        <v/>
      </c>
      <c r="B6">
        <f>IF(OR($A6="",B$4=""),"",SUMIFS(Saisie!$E$2:$E$501,Saisie!$B$2:$B$501,$A6,Saisie!$C$2:$C$501,B$4,Saisie!$A$2:$A$501,"&gt;="&amp;DATE(Annee,1,1),Saisie!$A$2:$A$501,"&lt;"&amp;DATE(Annee+1,1,1)))</f>
        <v/>
      </c>
      <c r="C6">
        <f>IF(OR($A6="",C$4=""),"",SUMIFS(Saisie!$E$2:$E$501,Saisie!$B$2:$B$501,$A6,Saisie!$C$2:$C$501,C$4,Saisie!$A$2:$A$501,"&gt;="&amp;DATE(Annee,1,1),Saisie!$A$2:$A$501,"&lt;"&amp;DATE(Annee+1,1,1)))</f>
        <v/>
      </c>
      <c r="D6">
        <f>IF(OR($A6="",D$4=""),"",SUMIFS(Saisie!$E$2:$E$501,Saisie!$B$2:$B$501,$A6,Saisie!$C$2:$C$501,D$4,Saisie!$A$2:$A$501,"&gt;="&amp;DATE(Annee,1,1),Saisie!$A$2:$A$501,"&lt;"&amp;DATE(Annee+1,1,1)))</f>
        <v/>
      </c>
      <c r="E6">
        <f>IF(OR($A6="",E$4=""),"",SUMIFS(Saisie!$E$2:$E$501,Saisie!$B$2:$B$501,$A6,Saisie!$C$2:$C$501,E$4,Saisie!$A$2:$A$501,"&gt;="&amp;DATE(Annee,1,1),Saisie!$A$2:$A$501,"&lt;"&amp;DATE(Annee+1,1,1)))</f>
        <v/>
      </c>
      <c r="F6">
        <f>IF(OR($A6="",F$4=""),"",SUMIFS(Saisie!$E$2:$E$501,Saisie!$B$2:$B$501,$A6,Saisie!$C$2:$C$501,F$4,Saisie!$A$2:$A$501,"&gt;="&amp;DATE(Annee,1,1),Saisie!$A$2:$A$501,"&lt;"&amp;DATE(Annee+1,1,1)))</f>
        <v/>
      </c>
      <c r="G6">
        <f>IF(OR($A6="",G$4=""),"",SUMIFS(Saisie!$E$2:$E$501,Saisie!$B$2:$B$501,$A6,Saisie!$C$2:$C$501,G$4,Saisie!$A$2:$A$501,"&gt;="&amp;DATE(Annee,1,1),Saisie!$A$2:$A$501,"&lt;"&amp;DATE(Annee+1,1,1)))</f>
        <v/>
      </c>
      <c r="H6">
        <f>IF(OR($A6="",H$4=""),"",SUMIFS(Saisie!$E$2:$E$501,Saisie!$B$2:$B$501,$A6,Saisie!$C$2:$C$501,H$4,Saisie!$A$2:$A$501,"&gt;="&amp;DATE(Annee,1,1),Saisie!$A$2:$A$501,"&lt;"&amp;DATE(Annee+1,1,1)))</f>
        <v/>
      </c>
      <c r="I6">
        <f>IF(OR($A6="",I$4=""),"",SUMIFS(Saisie!$E$2:$E$501,Saisie!$B$2:$B$501,$A6,Saisie!$C$2:$C$501,I$4,Saisie!$A$2:$A$501,"&gt;="&amp;DATE(Annee,1,1),Saisie!$A$2:$A$501,"&lt;"&amp;DATE(Annee+1,1,1)))</f>
        <v/>
      </c>
      <c r="J6">
        <f>IF(OR($A6="",J$4=""),"",SUMIFS(Saisie!$E$2:$E$501,Saisie!$B$2:$B$501,$A6,Saisie!$C$2:$C$501,J$4,Saisie!$A$2:$A$501,"&gt;="&amp;DATE(Annee,1,1),Saisie!$A$2:$A$501,"&lt;"&amp;DATE(Annee+1,1,1)))</f>
        <v/>
      </c>
      <c r="K6">
        <f>IF(OR($A6="",K$4=""),"",SUMIFS(Saisie!$E$2:$E$501,Saisie!$B$2:$B$501,$A6,Saisie!$C$2:$C$501,K$4,Saisie!$A$2:$A$501,"&gt;="&amp;DATE(Annee,1,1),Saisie!$A$2:$A$501,"&lt;"&amp;DATE(Annee+1,1,1)))</f>
        <v/>
      </c>
      <c r="L6" s="5">
        <f>SUM(B6:K6)</f>
        <v/>
      </c>
    </row>
    <row r="7">
      <c r="A7" s="5">
        <f>IF(INDEX(Liste_Personnes,3)="","",INDEX(Liste_Personnes,3))</f>
        <v/>
      </c>
      <c r="B7">
        <f>IF(OR($A7="",B$4=""),"",SUMIFS(Saisie!$E$2:$E$501,Saisie!$B$2:$B$501,$A7,Saisie!$C$2:$C$501,B$4,Saisie!$A$2:$A$501,"&gt;="&amp;DATE(Annee,1,1),Saisie!$A$2:$A$501,"&lt;"&amp;DATE(Annee+1,1,1)))</f>
        <v/>
      </c>
      <c r="C7">
        <f>IF(OR($A7="",C$4=""),"",SUMIFS(Saisie!$E$2:$E$501,Saisie!$B$2:$B$501,$A7,Saisie!$C$2:$C$501,C$4,Saisie!$A$2:$A$501,"&gt;="&amp;DATE(Annee,1,1),Saisie!$A$2:$A$501,"&lt;"&amp;DATE(Annee+1,1,1)))</f>
        <v/>
      </c>
      <c r="D7">
        <f>IF(OR($A7="",D$4=""),"",SUMIFS(Saisie!$E$2:$E$501,Saisie!$B$2:$B$501,$A7,Saisie!$C$2:$C$501,D$4,Saisie!$A$2:$A$501,"&gt;="&amp;DATE(Annee,1,1),Saisie!$A$2:$A$501,"&lt;"&amp;DATE(Annee+1,1,1)))</f>
        <v/>
      </c>
      <c r="E7">
        <f>IF(OR($A7="",E$4=""),"",SUMIFS(Saisie!$E$2:$E$501,Saisie!$B$2:$B$501,$A7,Saisie!$C$2:$C$501,E$4,Saisie!$A$2:$A$501,"&gt;="&amp;DATE(Annee,1,1),Saisie!$A$2:$A$501,"&lt;"&amp;DATE(Annee+1,1,1)))</f>
        <v/>
      </c>
      <c r="F7">
        <f>IF(OR($A7="",F$4=""),"",SUMIFS(Saisie!$E$2:$E$501,Saisie!$B$2:$B$501,$A7,Saisie!$C$2:$C$501,F$4,Saisie!$A$2:$A$501,"&gt;="&amp;DATE(Annee,1,1),Saisie!$A$2:$A$501,"&lt;"&amp;DATE(Annee+1,1,1)))</f>
        <v/>
      </c>
      <c r="G7">
        <f>IF(OR($A7="",G$4=""),"",SUMIFS(Saisie!$E$2:$E$501,Saisie!$B$2:$B$501,$A7,Saisie!$C$2:$C$501,G$4,Saisie!$A$2:$A$501,"&gt;="&amp;DATE(Annee,1,1),Saisie!$A$2:$A$501,"&lt;"&amp;DATE(Annee+1,1,1)))</f>
        <v/>
      </c>
      <c r="H7">
        <f>IF(OR($A7="",H$4=""),"",SUMIFS(Saisie!$E$2:$E$501,Saisie!$B$2:$B$501,$A7,Saisie!$C$2:$C$501,H$4,Saisie!$A$2:$A$501,"&gt;="&amp;DATE(Annee,1,1),Saisie!$A$2:$A$501,"&lt;"&amp;DATE(Annee+1,1,1)))</f>
        <v/>
      </c>
      <c r="I7">
        <f>IF(OR($A7="",I$4=""),"",SUMIFS(Saisie!$E$2:$E$501,Saisie!$B$2:$B$501,$A7,Saisie!$C$2:$C$501,I$4,Saisie!$A$2:$A$501,"&gt;="&amp;DATE(Annee,1,1),Saisie!$A$2:$A$501,"&lt;"&amp;DATE(Annee+1,1,1)))</f>
        <v/>
      </c>
      <c r="J7">
        <f>IF(OR($A7="",J$4=""),"",SUMIFS(Saisie!$E$2:$E$501,Saisie!$B$2:$B$501,$A7,Saisie!$C$2:$C$501,J$4,Saisie!$A$2:$A$501,"&gt;="&amp;DATE(Annee,1,1),Saisie!$A$2:$A$501,"&lt;"&amp;DATE(Annee+1,1,1)))</f>
        <v/>
      </c>
      <c r="K7">
        <f>IF(OR($A7="",K$4=""),"",SUMIFS(Saisie!$E$2:$E$501,Saisie!$B$2:$B$501,$A7,Saisie!$C$2:$C$501,K$4,Saisie!$A$2:$A$501,"&gt;="&amp;DATE(Annee,1,1),Saisie!$A$2:$A$501,"&lt;"&amp;DATE(Annee+1,1,1)))</f>
        <v/>
      </c>
      <c r="L7" s="5">
        <f>SUM(B7:K7)</f>
        <v/>
      </c>
    </row>
    <row r="8">
      <c r="A8" s="5">
        <f>IF(INDEX(Liste_Personnes,4)="","",INDEX(Liste_Personnes,4))</f>
        <v/>
      </c>
      <c r="B8">
        <f>IF(OR($A8="",B$4=""),"",SUMIFS(Saisie!$E$2:$E$501,Saisie!$B$2:$B$501,$A8,Saisie!$C$2:$C$501,B$4,Saisie!$A$2:$A$501,"&gt;="&amp;DATE(Annee,1,1),Saisie!$A$2:$A$501,"&lt;"&amp;DATE(Annee+1,1,1)))</f>
        <v/>
      </c>
      <c r="C8">
        <f>IF(OR($A8="",C$4=""),"",SUMIFS(Saisie!$E$2:$E$501,Saisie!$B$2:$B$501,$A8,Saisie!$C$2:$C$501,C$4,Saisie!$A$2:$A$501,"&gt;="&amp;DATE(Annee,1,1),Saisie!$A$2:$A$501,"&lt;"&amp;DATE(Annee+1,1,1)))</f>
        <v/>
      </c>
      <c r="D8">
        <f>IF(OR($A8="",D$4=""),"",SUMIFS(Saisie!$E$2:$E$501,Saisie!$B$2:$B$501,$A8,Saisie!$C$2:$C$501,D$4,Saisie!$A$2:$A$501,"&gt;="&amp;DATE(Annee,1,1),Saisie!$A$2:$A$501,"&lt;"&amp;DATE(Annee+1,1,1)))</f>
        <v/>
      </c>
      <c r="E8">
        <f>IF(OR($A8="",E$4=""),"",SUMIFS(Saisie!$E$2:$E$501,Saisie!$B$2:$B$501,$A8,Saisie!$C$2:$C$501,E$4,Saisie!$A$2:$A$501,"&gt;="&amp;DATE(Annee,1,1),Saisie!$A$2:$A$501,"&lt;"&amp;DATE(Annee+1,1,1)))</f>
        <v/>
      </c>
      <c r="F8">
        <f>IF(OR($A8="",F$4=""),"",SUMIFS(Saisie!$E$2:$E$501,Saisie!$B$2:$B$501,$A8,Saisie!$C$2:$C$501,F$4,Saisie!$A$2:$A$501,"&gt;="&amp;DATE(Annee,1,1),Saisie!$A$2:$A$501,"&lt;"&amp;DATE(Annee+1,1,1)))</f>
        <v/>
      </c>
      <c r="G8">
        <f>IF(OR($A8="",G$4=""),"",SUMIFS(Saisie!$E$2:$E$501,Saisie!$B$2:$B$501,$A8,Saisie!$C$2:$C$501,G$4,Saisie!$A$2:$A$501,"&gt;="&amp;DATE(Annee,1,1),Saisie!$A$2:$A$501,"&lt;"&amp;DATE(Annee+1,1,1)))</f>
        <v/>
      </c>
      <c r="H8">
        <f>IF(OR($A8="",H$4=""),"",SUMIFS(Saisie!$E$2:$E$501,Saisie!$B$2:$B$501,$A8,Saisie!$C$2:$C$501,H$4,Saisie!$A$2:$A$501,"&gt;="&amp;DATE(Annee,1,1),Saisie!$A$2:$A$501,"&lt;"&amp;DATE(Annee+1,1,1)))</f>
        <v/>
      </c>
      <c r="I8">
        <f>IF(OR($A8="",I$4=""),"",SUMIFS(Saisie!$E$2:$E$501,Saisie!$B$2:$B$501,$A8,Saisie!$C$2:$C$501,I$4,Saisie!$A$2:$A$501,"&gt;="&amp;DATE(Annee,1,1),Saisie!$A$2:$A$501,"&lt;"&amp;DATE(Annee+1,1,1)))</f>
        <v/>
      </c>
      <c r="J8">
        <f>IF(OR($A8="",J$4=""),"",SUMIFS(Saisie!$E$2:$E$501,Saisie!$B$2:$B$501,$A8,Saisie!$C$2:$C$501,J$4,Saisie!$A$2:$A$501,"&gt;="&amp;DATE(Annee,1,1),Saisie!$A$2:$A$501,"&lt;"&amp;DATE(Annee+1,1,1)))</f>
        <v/>
      </c>
      <c r="K8">
        <f>IF(OR($A8="",K$4=""),"",SUMIFS(Saisie!$E$2:$E$501,Saisie!$B$2:$B$501,$A8,Saisie!$C$2:$C$501,K$4,Saisie!$A$2:$A$501,"&gt;="&amp;DATE(Annee,1,1),Saisie!$A$2:$A$501,"&lt;"&amp;DATE(Annee+1,1,1)))</f>
        <v/>
      </c>
      <c r="L8" s="5">
        <f>SUM(B8:K8)</f>
        <v/>
      </c>
    </row>
    <row r="9">
      <c r="A9" s="5">
        <f>IF(INDEX(Liste_Personnes,5)="","",INDEX(Liste_Personnes,5))</f>
        <v/>
      </c>
      <c r="B9">
        <f>IF(OR($A9="",B$4=""),"",SUMIFS(Saisie!$E$2:$E$501,Saisie!$B$2:$B$501,$A9,Saisie!$C$2:$C$501,B$4,Saisie!$A$2:$A$501,"&gt;="&amp;DATE(Annee,1,1),Saisie!$A$2:$A$501,"&lt;"&amp;DATE(Annee+1,1,1)))</f>
        <v/>
      </c>
      <c r="C9">
        <f>IF(OR($A9="",C$4=""),"",SUMIFS(Saisie!$E$2:$E$501,Saisie!$B$2:$B$501,$A9,Saisie!$C$2:$C$501,C$4,Saisie!$A$2:$A$501,"&gt;="&amp;DATE(Annee,1,1),Saisie!$A$2:$A$501,"&lt;"&amp;DATE(Annee+1,1,1)))</f>
        <v/>
      </c>
      <c r="D9">
        <f>IF(OR($A9="",D$4=""),"",SUMIFS(Saisie!$E$2:$E$501,Saisie!$B$2:$B$501,$A9,Saisie!$C$2:$C$501,D$4,Saisie!$A$2:$A$501,"&gt;="&amp;DATE(Annee,1,1),Saisie!$A$2:$A$501,"&lt;"&amp;DATE(Annee+1,1,1)))</f>
        <v/>
      </c>
      <c r="E9">
        <f>IF(OR($A9="",E$4=""),"",SUMIFS(Saisie!$E$2:$E$501,Saisie!$B$2:$B$501,$A9,Saisie!$C$2:$C$501,E$4,Saisie!$A$2:$A$501,"&gt;="&amp;DATE(Annee,1,1),Saisie!$A$2:$A$501,"&lt;"&amp;DATE(Annee+1,1,1)))</f>
        <v/>
      </c>
      <c r="F9">
        <f>IF(OR($A9="",F$4=""),"",SUMIFS(Saisie!$E$2:$E$501,Saisie!$B$2:$B$501,$A9,Saisie!$C$2:$C$501,F$4,Saisie!$A$2:$A$501,"&gt;="&amp;DATE(Annee,1,1),Saisie!$A$2:$A$501,"&lt;"&amp;DATE(Annee+1,1,1)))</f>
        <v/>
      </c>
      <c r="G9">
        <f>IF(OR($A9="",G$4=""),"",SUMIFS(Saisie!$E$2:$E$501,Saisie!$B$2:$B$501,$A9,Saisie!$C$2:$C$501,G$4,Saisie!$A$2:$A$501,"&gt;="&amp;DATE(Annee,1,1),Saisie!$A$2:$A$501,"&lt;"&amp;DATE(Annee+1,1,1)))</f>
        <v/>
      </c>
      <c r="H9">
        <f>IF(OR($A9="",H$4=""),"",SUMIFS(Saisie!$E$2:$E$501,Saisie!$B$2:$B$501,$A9,Saisie!$C$2:$C$501,H$4,Saisie!$A$2:$A$501,"&gt;="&amp;DATE(Annee,1,1),Saisie!$A$2:$A$501,"&lt;"&amp;DATE(Annee+1,1,1)))</f>
        <v/>
      </c>
      <c r="I9">
        <f>IF(OR($A9="",I$4=""),"",SUMIFS(Saisie!$E$2:$E$501,Saisie!$B$2:$B$501,$A9,Saisie!$C$2:$C$501,I$4,Saisie!$A$2:$A$501,"&gt;="&amp;DATE(Annee,1,1),Saisie!$A$2:$A$501,"&lt;"&amp;DATE(Annee+1,1,1)))</f>
        <v/>
      </c>
      <c r="J9">
        <f>IF(OR($A9="",J$4=""),"",SUMIFS(Saisie!$E$2:$E$501,Saisie!$B$2:$B$501,$A9,Saisie!$C$2:$C$501,J$4,Saisie!$A$2:$A$501,"&gt;="&amp;DATE(Annee,1,1),Saisie!$A$2:$A$501,"&lt;"&amp;DATE(Annee+1,1,1)))</f>
        <v/>
      </c>
      <c r="K9">
        <f>IF(OR($A9="",K$4=""),"",SUMIFS(Saisie!$E$2:$E$501,Saisie!$B$2:$B$501,$A9,Saisie!$C$2:$C$501,K$4,Saisie!$A$2:$A$501,"&gt;="&amp;DATE(Annee,1,1),Saisie!$A$2:$A$501,"&lt;"&amp;DATE(Annee+1,1,1)))</f>
        <v/>
      </c>
      <c r="L9" s="5">
        <f>SUM(B9:K9)</f>
        <v/>
      </c>
    </row>
    <row r="10">
      <c r="A10" s="5">
        <f>IF(INDEX(Liste_Personnes,6)="","",INDEX(Liste_Personnes,6))</f>
        <v/>
      </c>
      <c r="B10">
        <f>IF(OR($A10="",B$4=""),"",SUMIFS(Saisie!$E$2:$E$501,Saisie!$B$2:$B$501,$A10,Saisie!$C$2:$C$501,B$4,Saisie!$A$2:$A$501,"&gt;="&amp;DATE(Annee,1,1),Saisie!$A$2:$A$501,"&lt;"&amp;DATE(Annee+1,1,1)))</f>
        <v/>
      </c>
      <c r="C10">
        <f>IF(OR($A10="",C$4=""),"",SUMIFS(Saisie!$E$2:$E$501,Saisie!$B$2:$B$501,$A10,Saisie!$C$2:$C$501,C$4,Saisie!$A$2:$A$501,"&gt;="&amp;DATE(Annee,1,1),Saisie!$A$2:$A$501,"&lt;"&amp;DATE(Annee+1,1,1)))</f>
        <v/>
      </c>
      <c r="D10">
        <f>IF(OR($A10="",D$4=""),"",SUMIFS(Saisie!$E$2:$E$501,Saisie!$B$2:$B$501,$A10,Saisie!$C$2:$C$501,D$4,Saisie!$A$2:$A$501,"&gt;="&amp;DATE(Annee,1,1),Saisie!$A$2:$A$501,"&lt;"&amp;DATE(Annee+1,1,1)))</f>
        <v/>
      </c>
      <c r="E10">
        <f>IF(OR($A10="",E$4=""),"",SUMIFS(Saisie!$E$2:$E$501,Saisie!$B$2:$B$501,$A10,Saisie!$C$2:$C$501,E$4,Saisie!$A$2:$A$501,"&gt;="&amp;DATE(Annee,1,1),Saisie!$A$2:$A$501,"&lt;"&amp;DATE(Annee+1,1,1)))</f>
        <v/>
      </c>
      <c r="F10">
        <f>IF(OR($A10="",F$4=""),"",SUMIFS(Saisie!$E$2:$E$501,Saisie!$B$2:$B$501,$A10,Saisie!$C$2:$C$501,F$4,Saisie!$A$2:$A$501,"&gt;="&amp;DATE(Annee,1,1),Saisie!$A$2:$A$501,"&lt;"&amp;DATE(Annee+1,1,1)))</f>
        <v/>
      </c>
      <c r="G10">
        <f>IF(OR($A10="",G$4=""),"",SUMIFS(Saisie!$E$2:$E$501,Saisie!$B$2:$B$501,$A10,Saisie!$C$2:$C$501,G$4,Saisie!$A$2:$A$501,"&gt;="&amp;DATE(Annee,1,1),Saisie!$A$2:$A$501,"&lt;"&amp;DATE(Annee+1,1,1)))</f>
        <v/>
      </c>
      <c r="H10">
        <f>IF(OR($A10="",H$4=""),"",SUMIFS(Saisie!$E$2:$E$501,Saisie!$B$2:$B$501,$A10,Saisie!$C$2:$C$501,H$4,Saisie!$A$2:$A$501,"&gt;="&amp;DATE(Annee,1,1),Saisie!$A$2:$A$501,"&lt;"&amp;DATE(Annee+1,1,1)))</f>
        <v/>
      </c>
      <c r="I10">
        <f>IF(OR($A10="",I$4=""),"",SUMIFS(Saisie!$E$2:$E$501,Saisie!$B$2:$B$501,$A10,Saisie!$C$2:$C$501,I$4,Saisie!$A$2:$A$501,"&gt;="&amp;DATE(Annee,1,1),Saisie!$A$2:$A$501,"&lt;"&amp;DATE(Annee+1,1,1)))</f>
        <v/>
      </c>
      <c r="J10">
        <f>IF(OR($A10="",J$4=""),"",SUMIFS(Saisie!$E$2:$E$501,Saisie!$B$2:$B$501,$A10,Saisie!$C$2:$C$501,J$4,Saisie!$A$2:$A$501,"&gt;="&amp;DATE(Annee,1,1),Saisie!$A$2:$A$501,"&lt;"&amp;DATE(Annee+1,1,1)))</f>
        <v/>
      </c>
      <c r="K10">
        <f>IF(OR($A10="",K$4=""),"",SUMIFS(Saisie!$E$2:$E$501,Saisie!$B$2:$B$501,$A10,Saisie!$C$2:$C$501,K$4,Saisie!$A$2:$A$501,"&gt;="&amp;DATE(Annee,1,1),Saisie!$A$2:$A$501,"&lt;"&amp;DATE(Annee+1,1,1)))</f>
        <v/>
      </c>
      <c r="L10" s="5">
        <f>SUM(B10:K10)</f>
        <v/>
      </c>
    </row>
    <row r="11">
      <c r="A11" s="5">
        <f>IF(INDEX(Liste_Personnes,7)="","",INDEX(Liste_Personnes,7))</f>
        <v/>
      </c>
      <c r="B11">
        <f>IF(OR($A11="",B$4=""),"",SUMIFS(Saisie!$E$2:$E$501,Saisie!$B$2:$B$501,$A11,Saisie!$C$2:$C$501,B$4,Saisie!$A$2:$A$501,"&gt;="&amp;DATE(Annee,1,1),Saisie!$A$2:$A$501,"&lt;"&amp;DATE(Annee+1,1,1)))</f>
        <v/>
      </c>
      <c r="C11">
        <f>IF(OR($A11="",C$4=""),"",SUMIFS(Saisie!$E$2:$E$501,Saisie!$B$2:$B$501,$A11,Saisie!$C$2:$C$501,C$4,Saisie!$A$2:$A$501,"&gt;="&amp;DATE(Annee,1,1),Saisie!$A$2:$A$501,"&lt;"&amp;DATE(Annee+1,1,1)))</f>
        <v/>
      </c>
      <c r="D11">
        <f>IF(OR($A11="",D$4=""),"",SUMIFS(Saisie!$E$2:$E$501,Saisie!$B$2:$B$501,$A11,Saisie!$C$2:$C$501,D$4,Saisie!$A$2:$A$501,"&gt;="&amp;DATE(Annee,1,1),Saisie!$A$2:$A$501,"&lt;"&amp;DATE(Annee+1,1,1)))</f>
        <v/>
      </c>
      <c r="E11">
        <f>IF(OR($A11="",E$4=""),"",SUMIFS(Saisie!$E$2:$E$501,Saisie!$B$2:$B$501,$A11,Saisie!$C$2:$C$501,E$4,Saisie!$A$2:$A$501,"&gt;="&amp;DATE(Annee,1,1),Saisie!$A$2:$A$501,"&lt;"&amp;DATE(Annee+1,1,1)))</f>
        <v/>
      </c>
      <c r="F11">
        <f>IF(OR($A11="",F$4=""),"",SUMIFS(Saisie!$E$2:$E$501,Saisie!$B$2:$B$501,$A11,Saisie!$C$2:$C$501,F$4,Saisie!$A$2:$A$501,"&gt;="&amp;DATE(Annee,1,1),Saisie!$A$2:$A$501,"&lt;"&amp;DATE(Annee+1,1,1)))</f>
        <v/>
      </c>
      <c r="G11">
        <f>IF(OR($A11="",G$4=""),"",SUMIFS(Saisie!$E$2:$E$501,Saisie!$B$2:$B$501,$A11,Saisie!$C$2:$C$501,G$4,Saisie!$A$2:$A$501,"&gt;="&amp;DATE(Annee,1,1),Saisie!$A$2:$A$501,"&lt;"&amp;DATE(Annee+1,1,1)))</f>
        <v/>
      </c>
      <c r="H11">
        <f>IF(OR($A11="",H$4=""),"",SUMIFS(Saisie!$E$2:$E$501,Saisie!$B$2:$B$501,$A11,Saisie!$C$2:$C$501,H$4,Saisie!$A$2:$A$501,"&gt;="&amp;DATE(Annee,1,1),Saisie!$A$2:$A$501,"&lt;"&amp;DATE(Annee+1,1,1)))</f>
        <v/>
      </c>
      <c r="I11">
        <f>IF(OR($A11="",I$4=""),"",SUMIFS(Saisie!$E$2:$E$501,Saisie!$B$2:$B$501,$A11,Saisie!$C$2:$C$501,I$4,Saisie!$A$2:$A$501,"&gt;="&amp;DATE(Annee,1,1),Saisie!$A$2:$A$501,"&lt;"&amp;DATE(Annee+1,1,1)))</f>
        <v/>
      </c>
      <c r="J11">
        <f>IF(OR($A11="",J$4=""),"",SUMIFS(Saisie!$E$2:$E$501,Saisie!$B$2:$B$501,$A11,Saisie!$C$2:$C$501,J$4,Saisie!$A$2:$A$501,"&gt;="&amp;DATE(Annee,1,1),Saisie!$A$2:$A$501,"&lt;"&amp;DATE(Annee+1,1,1)))</f>
        <v/>
      </c>
      <c r="K11">
        <f>IF(OR($A11="",K$4=""),"",SUMIFS(Saisie!$E$2:$E$501,Saisie!$B$2:$B$501,$A11,Saisie!$C$2:$C$501,K$4,Saisie!$A$2:$A$501,"&gt;="&amp;DATE(Annee,1,1),Saisie!$A$2:$A$501,"&lt;"&amp;DATE(Annee+1,1,1)))</f>
        <v/>
      </c>
      <c r="L11" s="5">
        <f>SUM(B11:K11)</f>
        <v/>
      </c>
    </row>
    <row r="12">
      <c r="A12" s="5">
        <f>IF(INDEX(Liste_Personnes,8)="","",INDEX(Liste_Personnes,8))</f>
        <v/>
      </c>
      <c r="B12">
        <f>IF(OR($A12="",B$4=""),"",SUMIFS(Saisie!$E$2:$E$501,Saisie!$B$2:$B$501,$A12,Saisie!$C$2:$C$501,B$4,Saisie!$A$2:$A$501,"&gt;="&amp;DATE(Annee,1,1),Saisie!$A$2:$A$501,"&lt;"&amp;DATE(Annee+1,1,1)))</f>
        <v/>
      </c>
      <c r="C12">
        <f>IF(OR($A12="",C$4=""),"",SUMIFS(Saisie!$E$2:$E$501,Saisie!$B$2:$B$501,$A12,Saisie!$C$2:$C$501,C$4,Saisie!$A$2:$A$501,"&gt;="&amp;DATE(Annee,1,1),Saisie!$A$2:$A$501,"&lt;"&amp;DATE(Annee+1,1,1)))</f>
        <v/>
      </c>
      <c r="D12">
        <f>IF(OR($A12="",D$4=""),"",SUMIFS(Saisie!$E$2:$E$501,Saisie!$B$2:$B$501,$A12,Saisie!$C$2:$C$501,D$4,Saisie!$A$2:$A$501,"&gt;="&amp;DATE(Annee,1,1),Saisie!$A$2:$A$501,"&lt;"&amp;DATE(Annee+1,1,1)))</f>
        <v/>
      </c>
      <c r="E12">
        <f>IF(OR($A12="",E$4=""),"",SUMIFS(Saisie!$E$2:$E$501,Saisie!$B$2:$B$501,$A12,Saisie!$C$2:$C$501,E$4,Saisie!$A$2:$A$501,"&gt;="&amp;DATE(Annee,1,1),Saisie!$A$2:$A$501,"&lt;"&amp;DATE(Annee+1,1,1)))</f>
        <v/>
      </c>
      <c r="F12">
        <f>IF(OR($A12="",F$4=""),"",SUMIFS(Saisie!$E$2:$E$501,Saisie!$B$2:$B$501,$A12,Saisie!$C$2:$C$501,F$4,Saisie!$A$2:$A$501,"&gt;="&amp;DATE(Annee,1,1),Saisie!$A$2:$A$501,"&lt;"&amp;DATE(Annee+1,1,1)))</f>
        <v/>
      </c>
      <c r="G12">
        <f>IF(OR($A12="",G$4=""),"",SUMIFS(Saisie!$E$2:$E$501,Saisie!$B$2:$B$501,$A12,Saisie!$C$2:$C$501,G$4,Saisie!$A$2:$A$501,"&gt;="&amp;DATE(Annee,1,1),Saisie!$A$2:$A$501,"&lt;"&amp;DATE(Annee+1,1,1)))</f>
        <v/>
      </c>
      <c r="H12">
        <f>IF(OR($A12="",H$4=""),"",SUMIFS(Saisie!$E$2:$E$501,Saisie!$B$2:$B$501,$A12,Saisie!$C$2:$C$501,H$4,Saisie!$A$2:$A$501,"&gt;="&amp;DATE(Annee,1,1),Saisie!$A$2:$A$501,"&lt;"&amp;DATE(Annee+1,1,1)))</f>
        <v/>
      </c>
      <c r="I12">
        <f>IF(OR($A12="",I$4=""),"",SUMIFS(Saisie!$E$2:$E$501,Saisie!$B$2:$B$501,$A12,Saisie!$C$2:$C$501,I$4,Saisie!$A$2:$A$501,"&gt;="&amp;DATE(Annee,1,1),Saisie!$A$2:$A$501,"&lt;"&amp;DATE(Annee+1,1,1)))</f>
        <v/>
      </c>
      <c r="J12">
        <f>IF(OR($A12="",J$4=""),"",SUMIFS(Saisie!$E$2:$E$501,Saisie!$B$2:$B$501,$A12,Saisie!$C$2:$C$501,J$4,Saisie!$A$2:$A$501,"&gt;="&amp;DATE(Annee,1,1),Saisie!$A$2:$A$501,"&lt;"&amp;DATE(Annee+1,1,1)))</f>
        <v/>
      </c>
      <c r="K12">
        <f>IF(OR($A12="",K$4=""),"",SUMIFS(Saisie!$E$2:$E$501,Saisie!$B$2:$B$501,$A12,Saisie!$C$2:$C$501,K$4,Saisie!$A$2:$A$501,"&gt;="&amp;DATE(Annee,1,1),Saisie!$A$2:$A$501,"&lt;"&amp;DATE(Annee+1,1,1)))</f>
        <v/>
      </c>
      <c r="L12" s="5">
        <f>SUM(B12:K12)</f>
        <v/>
      </c>
    </row>
    <row r="13">
      <c r="A13" s="5">
        <f>IF(INDEX(Liste_Personnes,9)="","",INDEX(Liste_Personnes,9))</f>
        <v/>
      </c>
      <c r="B13">
        <f>IF(OR($A13="",B$4=""),"",SUMIFS(Saisie!$E$2:$E$501,Saisie!$B$2:$B$501,$A13,Saisie!$C$2:$C$501,B$4,Saisie!$A$2:$A$501,"&gt;="&amp;DATE(Annee,1,1),Saisie!$A$2:$A$501,"&lt;"&amp;DATE(Annee+1,1,1)))</f>
        <v/>
      </c>
      <c r="C13">
        <f>IF(OR($A13="",C$4=""),"",SUMIFS(Saisie!$E$2:$E$501,Saisie!$B$2:$B$501,$A13,Saisie!$C$2:$C$501,C$4,Saisie!$A$2:$A$501,"&gt;="&amp;DATE(Annee,1,1),Saisie!$A$2:$A$501,"&lt;"&amp;DATE(Annee+1,1,1)))</f>
        <v/>
      </c>
      <c r="D13">
        <f>IF(OR($A13="",D$4=""),"",SUMIFS(Saisie!$E$2:$E$501,Saisie!$B$2:$B$501,$A13,Saisie!$C$2:$C$501,D$4,Saisie!$A$2:$A$501,"&gt;="&amp;DATE(Annee,1,1),Saisie!$A$2:$A$501,"&lt;"&amp;DATE(Annee+1,1,1)))</f>
        <v/>
      </c>
      <c r="E13">
        <f>IF(OR($A13="",E$4=""),"",SUMIFS(Saisie!$E$2:$E$501,Saisie!$B$2:$B$501,$A13,Saisie!$C$2:$C$501,E$4,Saisie!$A$2:$A$501,"&gt;="&amp;DATE(Annee,1,1),Saisie!$A$2:$A$501,"&lt;"&amp;DATE(Annee+1,1,1)))</f>
        <v/>
      </c>
      <c r="F13">
        <f>IF(OR($A13="",F$4=""),"",SUMIFS(Saisie!$E$2:$E$501,Saisie!$B$2:$B$501,$A13,Saisie!$C$2:$C$501,F$4,Saisie!$A$2:$A$501,"&gt;="&amp;DATE(Annee,1,1),Saisie!$A$2:$A$501,"&lt;"&amp;DATE(Annee+1,1,1)))</f>
        <v/>
      </c>
      <c r="G13">
        <f>IF(OR($A13="",G$4=""),"",SUMIFS(Saisie!$E$2:$E$501,Saisie!$B$2:$B$501,$A13,Saisie!$C$2:$C$501,G$4,Saisie!$A$2:$A$501,"&gt;="&amp;DATE(Annee,1,1),Saisie!$A$2:$A$501,"&lt;"&amp;DATE(Annee+1,1,1)))</f>
        <v/>
      </c>
      <c r="H13">
        <f>IF(OR($A13="",H$4=""),"",SUMIFS(Saisie!$E$2:$E$501,Saisie!$B$2:$B$501,$A13,Saisie!$C$2:$C$501,H$4,Saisie!$A$2:$A$501,"&gt;="&amp;DATE(Annee,1,1),Saisie!$A$2:$A$501,"&lt;"&amp;DATE(Annee+1,1,1)))</f>
        <v/>
      </c>
      <c r="I13">
        <f>IF(OR($A13="",I$4=""),"",SUMIFS(Saisie!$E$2:$E$501,Saisie!$B$2:$B$501,$A13,Saisie!$C$2:$C$501,I$4,Saisie!$A$2:$A$501,"&gt;="&amp;DATE(Annee,1,1),Saisie!$A$2:$A$501,"&lt;"&amp;DATE(Annee+1,1,1)))</f>
        <v/>
      </c>
      <c r="J13">
        <f>IF(OR($A13="",J$4=""),"",SUMIFS(Saisie!$E$2:$E$501,Saisie!$B$2:$B$501,$A13,Saisie!$C$2:$C$501,J$4,Saisie!$A$2:$A$501,"&gt;="&amp;DATE(Annee,1,1),Saisie!$A$2:$A$501,"&lt;"&amp;DATE(Annee+1,1,1)))</f>
        <v/>
      </c>
      <c r="K13">
        <f>IF(OR($A13="",K$4=""),"",SUMIFS(Saisie!$E$2:$E$501,Saisie!$B$2:$B$501,$A13,Saisie!$C$2:$C$501,K$4,Saisie!$A$2:$A$501,"&gt;="&amp;DATE(Annee,1,1),Saisie!$A$2:$A$501,"&lt;"&amp;DATE(Annee+1,1,1)))</f>
        <v/>
      </c>
      <c r="L13" s="5">
        <f>SUM(B13:K13)</f>
        <v/>
      </c>
    </row>
    <row r="14">
      <c r="A14" s="5">
        <f>IF(INDEX(Liste_Personnes,10)="","",INDEX(Liste_Personnes,10))</f>
        <v/>
      </c>
      <c r="B14">
        <f>IF(OR($A14="",B$4=""),"",SUMIFS(Saisie!$E$2:$E$501,Saisie!$B$2:$B$501,$A14,Saisie!$C$2:$C$501,B$4,Saisie!$A$2:$A$501,"&gt;="&amp;DATE(Annee,1,1),Saisie!$A$2:$A$501,"&lt;"&amp;DATE(Annee+1,1,1)))</f>
        <v/>
      </c>
      <c r="C14">
        <f>IF(OR($A14="",C$4=""),"",SUMIFS(Saisie!$E$2:$E$501,Saisie!$B$2:$B$501,$A14,Saisie!$C$2:$C$501,C$4,Saisie!$A$2:$A$501,"&gt;="&amp;DATE(Annee,1,1),Saisie!$A$2:$A$501,"&lt;"&amp;DATE(Annee+1,1,1)))</f>
        <v/>
      </c>
      <c r="D14">
        <f>IF(OR($A14="",D$4=""),"",SUMIFS(Saisie!$E$2:$E$501,Saisie!$B$2:$B$501,$A14,Saisie!$C$2:$C$501,D$4,Saisie!$A$2:$A$501,"&gt;="&amp;DATE(Annee,1,1),Saisie!$A$2:$A$501,"&lt;"&amp;DATE(Annee+1,1,1)))</f>
        <v/>
      </c>
      <c r="E14">
        <f>IF(OR($A14="",E$4=""),"",SUMIFS(Saisie!$E$2:$E$501,Saisie!$B$2:$B$501,$A14,Saisie!$C$2:$C$501,E$4,Saisie!$A$2:$A$501,"&gt;="&amp;DATE(Annee,1,1),Saisie!$A$2:$A$501,"&lt;"&amp;DATE(Annee+1,1,1)))</f>
        <v/>
      </c>
      <c r="F14">
        <f>IF(OR($A14="",F$4=""),"",SUMIFS(Saisie!$E$2:$E$501,Saisie!$B$2:$B$501,$A14,Saisie!$C$2:$C$501,F$4,Saisie!$A$2:$A$501,"&gt;="&amp;DATE(Annee,1,1),Saisie!$A$2:$A$501,"&lt;"&amp;DATE(Annee+1,1,1)))</f>
        <v/>
      </c>
      <c r="G14">
        <f>IF(OR($A14="",G$4=""),"",SUMIFS(Saisie!$E$2:$E$501,Saisie!$B$2:$B$501,$A14,Saisie!$C$2:$C$501,G$4,Saisie!$A$2:$A$501,"&gt;="&amp;DATE(Annee,1,1),Saisie!$A$2:$A$501,"&lt;"&amp;DATE(Annee+1,1,1)))</f>
        <v/>
      </c>
      <c r="H14">
        <f>IF(OR($A14="",H$4=""),"",SUMIFS(Saisie!$E$2:$E$501,Saisie!$B$2:$B$501,$A14,Saisie!$C$2:$C$501,H$4,Saisie!$A$2:$A$501,"&gt;="&amp;DATE(Annee,1,1),Saisie!$A$2:$A$501,"&lt;"&amp;DATE(Annee+1,1,1)))</f>
        <v/>
      </c>
      <c r="I14">
        <f>IF(OR($A14="",I$4=""),"",SUMIFS(Saisie!$E$2:$E$501,Saisie!$B$2:$B$501,$A14,Saisie!$C$2:$C$501,I$4,Saisie!$A$2:$A$501,"&gt;="&amp;DATE(Annee,1,1),Saisie!$A$2:$A$501,"&lt;"&amp;DATE(Annee+1,1,1)))</f>
        <v/>
      </c>
      <c r="J14">
        <f>IF(OR($A14="",J$4=""),"",SUMIFS(Saisie!$E$2:$E$501,Saisie!$B$2:$B$501,$A14,Saisie!$C$2:$C$501,J$4,Saisie!$A$2:$A$501,"&gt;="&amp;DATE(Annee,1,1),Saisie!$A$2:$A$501,"&lt;"&amp;DATE(Annee+1,1,1)))</f>
        <v/>
      </c>
      <c r="K14">
        <f>IF(OR($A14="",K$4=""),"",SUMIFS(Saisie!$E$2:$E$501,Saisie!$B$2:$B$501,$A14,Saisie!$C$2:$C$501,K$4,Saisie!$A$2:$A$501,"&gt;="&amp;DATE(Annee,1,1),Saisie!$A$2:$A$501,"&lt;"&amp;DATE(Annee+1,1,1)))</f>
        <v/>
      </c>
      <c r="L14" s="5">
        <f>SUM(B14:K14)</f>
        <v/>
      </c>
    </row>
    <row r="15">
      <c r="A15" s="5" t="inlineStr">
        <is>
          <t>Total</t>
        </is>
      </c>
      <c r="B15" s="5">
        <f>SUM(B5:B14)</f>
        <v/>
      </c>
      <c r="C15" s="5">
        <f>SUM(C5:C14)</f>
        <v/>
      </c>
      <c r="D15" s="5">
        <f>SUM(D5:D14)</f>
        <v/>
      </c>
      <c r="E15" s="5">
        <f>SUM(E5:E14)</f>
        <v/>
      </c>
      <c r="F15" s="5">
        <f>SUM(F5:F14)</f>
        <v/>
      </c>
      <c r="G15" s="5">
        <f>SUM(G5:G14)</f>
        <v/>
      </c>
      <c r="H15" s="5">
        <f>SUM(H5:H14)</f>
        <v/>
      </c>
      <c r="I15" s="5">
        <f>SUM(I5:I14)</f>
        <v/>
      </c>
      <c r="J15" s="5">
        <f>SUM(J5:J14)</f>
        <v/>
      </c>
      <c r="K15" s="5">
        <f>SUM(K5:K14)</f>
        <v/>
      </c>
      <c r="L15" s="5">
        <f>SUM(L5:L14)</f>
        <v/>
      </c>
    </row>
  </sheetData>
  <pageMargins left="0.5" right="0.5" top="1" bottom="1" header="0.5" footer="0.5"/>
  <pageSetup orientation="landscape" paperSize="9" fitToHeight="0" fitToWidth="1"/>
  <headerFooter>
    <oddHeader/>
    <oddFooter>&amp;C&amp;"Calibri"Page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5" max="5"/>
  </cols>
  <sheetData>
    <row r="1">
      <c r="A1" s="4" t="inlineStr">
        <is>
          <t>Paramètres</t>
        </is>
      </c>
    </row>
    <row r="3">
      <c r="A3" s="1" t="inlineStr">
        <is>
          <t>Personnes</t>
        </is>
      </c>
      <c r="B3" s="1" t="inlineStr">
        <is>
          <t>Projets</t>
        </is>
      </c>
      <c r="C3" s="1" t="inlineStr">
        <is>
          <t>Taches</t>
        </is>
      </c>
      <c r="E3" s="5" t="inlineStr">
        <is>
          <t>Année de synthèse</t>
        </is>
      </c>
      <c r="F3" s="3" t="n">
        <v>2026</v>
      </c>
    </row>
    <row r="4">
      <c r="A4" s="9" t="inlineStr">
        <is>
          <t>Personne A</t>
        </is>
      </c>
      <c r="B4" s="9" t="inlineStr">
        <is>
          <t>Projet Alpha</t>
        </is>
      </c>
      <c r="C4" s="9" t="inlineStr">
        <is>
          <t>Analyse</t>
        </is>
      </c>
    </row>
    <row r="5">
      <c r="A5" s="9" t="inlineStr">
        <is>
          <t>Personne B</t>
        </is>
      </c>
      <c r="B5" s="9" t="inlineStr">
        <is>
          <t>Projet Beta</t>
        </is>
      </c>
      <c r="C5" s="9" t="inlineStr">
        <is>
          <t>Développement</t>
        </is>
      </c>
    </row>
    <row r="6">
      <c r="A6" s="9" t="inlineStr">
        <is>
          <t>Personne C</t>
        </is>
      </c>
      <c r="B6" s="9" t="inlineStr">
        <is>
          <t>Interne</t>
        </is>
      </c>
      <c r="C6" s="9" t="inlineStr">
        <is>
          <t>Réunion</t>
        </is>
      </c>
    </row>
    <row r="7">
      <c r="A7" s="9" t="n"/>
      <c r="B7" s="9" t="n"/>
      <c r="C7" s="9" t="inlineStr">
        <is>
          <t>Gestion</t>
        </is>
      </c>
    </row>
    <row r="8">
      <c r="A8" s="9" t="n"/>
      <c r="B8" s="9" t="n"/>
      <c r="C8" s="9" t="n"/>
    </row>
    <row r="9">
      <c r="A9" s="9" t="n"/>
      <c r="B9" s="9" t="n"/>
      <c r="C9" s="9" t="n"/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9" t="n"/>
      <c r="B12" s="9" t="n"/>
      <c r="C12" s="9" t="n"/>
    </row>
    <row r="13">
      <c r="A13" s="9" t="n"/>
      <c r="B13" s="9" t="n"/>
      <c r="C13" s="9" t="n"/>
    </row>
    <row r="14">
      <c r="A14" s="9" t="n"/>
      <c r="B14" s="9" t="n"/>
      <c r="C14" s="9" t="n"/>
    </row>
    <row r="15">
      <c r="A15" s="9" t="n"/>
      <c r="B15" s="9" t="n"/>
      <c r="C15" s="9" t="n"/>
    </row>
    <row r="16">
      <c r="A16" s="9" t="n"/>
      <c r="B16" s="9" t="n"/>
      <c r="C16" s="9" t="n"/>
    </row>
    <row r="17">
      <c r="A17" s="9" t="n"/>
      <c r="B17" s="9" t="n"/>
      <c r="C17" s="9" t="n"/>
    </row>
    <row r="18">
      <c r="A18" s="9" t="n"/>
      <c r="B18" s="9" t="n"/>
      <c r="C18" s="9" t="n"/>
    </row>
    <row r="19">
      <c r="A19" s="9" t="n"/>
      <c r="B19" s="9" t="n"/>
      <c r="C19" s="9" t="n"/>
    </row>
    <row r="20">
      <c r="A20" s="9" t="n"/>
      <c r="B20" s="9" t="n"/>
      <c r="C20" s="9" t="n"/>
    </row>
    <row r="21">
      <c r="A21" s="9" t="n"/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>
      <c r="A24" s="9" t="n"/>
      <c r="B24" s="9" t="n"/>
      <c r="C24" s="9" t="n"/>
    </row>
    <row r="25">
      <c r="A25" s="9" t="n"/>
      <c r="B25" s="9" t="n"/>
      <c r="C25" s="9" t="n"/>
    </row>
    <row r="26">
      <c r="A26" s="9" t="n"/>
      <c r="B26" s="9" t="n"/>
      <c r="C26" s="9" t="n"/>
    </row>
    <row r="27">
      <c r="A27" s="9" t="n"/>
      <c r="B27" s="9" t="n"/>
      <c r="C27" s="9" t="n"/>
    </row>
    <row r="28">
      <c r="A28" s="9" t="n"/>
      <c r="B28" s="9" t="n"/>
      <c r="C28" s="9" t="n"/>
    </row>
    <row r="29">
      <c r="A29" s="9" t="n"/>
      <c r="B29" s="9" t="n"/>
      <c r="C29" s="9" t="n"/>
    </row>
    <row r="30">
      <c r="A30" s="9" t="n"/>
      <c r="B30" s="9" t="n"/>
      <c r="C30" s="9" t="n"/>
    </row>
    <row r="31">
      <c r="A31" s="9" t="n"/>
      <c r="B31" s="9" t="n"/>
      <c r="C31" s="9" t="n"/>
    </row>
    <row r="32">
      <c r="A32" s="9" t="n"/>
      <c r="B32" s="9" t="n"/>
      <c r="C32" s="9" t="n"/>
    </row>
    <row r="33">
      <c r="A33" s="9" t="n"/>
      <c r="B33" s="9" t="n"/>
      <c r="C33" s="9" t="n"/>
    </row>
  </sheetData>
  <pageMargins left="0.5" right="0.5" top="1" bottom="1" header="0.5" footer="0.5"/>
  <pageSetup orientation="portrait" paperSize="9" fitToHeight="0" fitToWidth="1"/>
  <headerFooter>
    <oddHeader/>
    <oddFooter>&amp;C&amp;"Calibri"Page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2026-10-29T21:15:43Z</dcterms:created>
  <dcterms:modified xmlns:dcterms="http://purl.org/dc/terms/" xmlns:xsi="http://www.w3.org/2001/XMLSchema-instance" xsi:type="dcterms:W3CDTF">2026-10-29T21:15:43Z</dcterms:modified>
</cp:coreProperties>
</file>