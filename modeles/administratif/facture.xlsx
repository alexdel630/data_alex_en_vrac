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" sheetId="1" state="visible" r:id="rId1"/>
    <sheet xmlns:r="http://schemas.openxmlformats.org/officeDocument/2006/relationships" name="Paramètres" sheetId="2" state="visible" r:id="rId2"/>
  </sheets>
  <definedNames>
    <definedName name="Soc_Nom">'Paramètres'!$B$4</definedName>
    <definedName name="Soc_Adresse">'Paramètres'!$B$5</definedName>
    <definedName name="Soc_SIRET">'Paramètres'!$B$6</definedName>
    <definedName name="Soc_TVA">'Paramètres'!$B$7</definedName>
    <definedName name="Soc_RCS">'Paramètres'!$B$8</definedName>
    <definedName name="Soc_Capital">'Paramètres'!$B$9</definedName>
    <definedName name="Soc_Tel">'Paramètres'!$B$10</definedName>
    <definedName name="Soc_Mail">'Paramètres'!$B$11</definedName>
    <definedName name="Soc_IBAN">'Paramètres'!$B$12</definedName>
    <definedName name="Delai_Paiement">'Paramètres'!$B$13</definedName>
    <definedName name="Penalites">'Paramètres'!$B$14</definedName>
    <definedName name="Escompte">'Paramètres'!$B$15</definedName>
    <definedName name="Liste_TVA">'Paramètres'!$B$18:$B$21</definedName>
    <definedName name="_xlnm.Print_Area" localSheetId="0">'Facture'!$A$1:$G$53</definedName>
    <definedName name="_xlnm.Print_Area" localSheetId="1">'Paramètres'!$A$1:$B$22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DD/MM/YYYY"/>
    <numFmt numFmtId="167" formatCode="#,##0.0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color rgb="00555555"/>
      <sz val="8"/>
    </font>
    <font>
      <name val="Calibri"/>
      <b val="1"/>
      <color rgb="001F2A44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2F6FED"/>
      <sz val="22"/>
    </font>
    <font>
      <name val="Calibri"/>
      <color rgb="00C00000"/>
    </font>
  </fonts>
  <fills count="5">
    <fill>
      <patternFill/>
    </fill>
    <fill>
      <patternFill patternType="gray125"/>
    </fill>
    <fill>
      <patternFill patternType="solid">
        <fgColor rgb="00EEF3FD"/>
      </patternFill>
    </fill>
    <fill>
      <patternFill patternType="solid">
        <fgColor rgb="001F2A44"/>
      </patternFill>
    </fill>
    <fill>
      <patternFill patternType="solid">
        <fgColor rgb="002F6FED"/>
      </patternFill>
    </fill>
  </fills>
  <borders count="5">
    <border>
      <left/>
      <right/>
      <top/>
      <bottom/>
      <diagonal/>
    </border>
    <border>
      <left style="thin">
        <color rgb="00B7C0D0"/>
      </left>
      <right style="thin">
        <color rgb="00B7C0D0"/>
      </right>
      <top style="thin">
        <color rgb="00B7C0D0"/>
      </top>
      <bottom style="thin">
        <color rgb="00B7C0D0"/>
      </bottom>
    </border>
    <border>
      <left/>
      <right/>
      <top style="thin">
        <color rgb="00B7C0D0"/>
      </top>
      <bottom/>
      <diagonal/>
    </border>
    <border>
      <left/>
      <right style="thin">
        <color rgb="00B7C0D0"/>
      </right>
      <top style="thin">
        <color rgb="00B7C0D0"/>
      </top>
      <bottom/>
      <diagonal/>
    </border>
    <border>
      <left/>
      <right style="thin">
        <color rgb="00B7C0D0"/>
      </right>
      <top style="thin">
        <color rgb="00B7C0D0"/>
      </top>
      <bottom style="thin">
        <color rgb="00B7C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166" fontId="0" fillId="2" borderId="1" pivotButton="0" quotePrefix="0" xfId="0"/>
    <xf numFmtId="166" fontId="0" fillId="0" borderId="1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167" fontId="0" fillId="2" borderId="1" pivotButton="0" quotePrefix="0" xfId="0"/>
    <xf numFmtId="164" fontId="0" fillId="2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4" fontId="0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167" fontId="5" fillId="4" borderId="0" pivotButton="0" quotePrefix="0" xfId="0"/>
    <xf numFmtId="0" fontId="7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167" fontId="5" fillId="3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3" customWidth="1" min="4" max="4"/>
    <col width="10" customWidth="1" min="5" max="5"/>
    <col width="9" customWidth="1" min="6" max="6"/>
    <col width="15" customWidth="1" min="7" max="7"/>
  </cols>
  <sheetData>
    <row r="1">
      <c r="A1" s="1">
        <f>Soc_Nom</f>
        <v/>
      </c>
      <c r="E1" s="2" t="inlineStr">
        <is>
          <t>FACTURE</t>
        </is>
      </c>
    </row>
    <row r="2">
      <c r="A2" s="3">
        <f>Soc_Adresse</f>
        <v/>
      </c>
      <c r="E2" s="4" t="inlineStr">
        <is>
          <t>N°</t>
        </is>
      </c>
      <c r="F2" s="5" t="inlineStr">
        <is>
          <t>FAC-2026-001</t>
        </is>
      </c>
      <c r="G2" s="6" t="n"/>
    </row>
    <row r="3">
      <c r="A3" s="3">
        <f>"SIRET : "&amp;Soc_SIRET&amp;" — TVA : "&amp;Soc_TVA</f>
        <v/>
      </c>
      <c r="E3" s="4" t="inlineStr">
        <is>
          <t>Date</t>
        </is>
      </c>
      <c r="F3" s="7" t="n">
        <v>46037</v>
      </c>
      <c r="G3" s="6" t="n"/>
    </row>
    <row r="4">
      <c r="A4" s="3">
        <f>"Tél. : "&amp;Soc_Tel&amp;" — "&amp;Soc_Mail</f>
        <v/>
      </c>
      <c r="E4" s="4" t="inlineStr">
        <is>
          <t>Échéance</t>
        </is>
      </c>
      <c r="F4" s="8">
        <f>F3+Delai_Paiement</f>
        <v/>
      </c>
      <c r="G4" s="6" t="n"/>
    </row>
    <row r="5">
      <c r="E5" s="4" t="inlineStr">
        <is>
          <t>Réf. devis</t>
        </is>
      </c>
      <c r="F5" s="5" t="inlineStr">
        <is>
          <t>DEV-2026-001</t>
        </is>
      </c>
      <c r="G5" s="6" t="n"/>
    </row>
    <row r="7">
      <c r="A7" s="4" t="inlineStr">
        <is>
          <t>Client</t>
        </is>
      </c>
    </row>
    <row r="8">
      <c r="A8" s="5" t="inlineStr">
        <is>
          <t>Client A</t>
        </is>
      </c>
    </row>
    <row r="9">
      <c r="A9" s="5" t="inlineStr">
        <is>
          <t>10 avenue Fictive, 00000 Ville</t>
        </is>
      </c>
    </row>
    <row r="10">
      <c r="A10" s="5" t="inlineStr">
        <is>
          <t>SIRET client : (fictif)</t>
        </is>
      </c>
    </row>
    <row r="11">
      <c r="A11" s="4" t="inlineStr">
        <is>
          <t>Objet :</t>
        </is>
      </c>
      <c r="B11" s="9" t="inlineStr">
        <is>
          <t>Prestation exemple</t>
        </is>
      </c>
    </row>
    <row r="13">
      <c r="A13" s="10" t="inlineStr">
        <is>
          <t>Désignation</t>
        </is>
      </c>
      <c r="B13" s="10" t="inlineStr">
        <is>
          <t>Quantité</t>
        </is>
      </c>
      <c r="C13" s="10" t="inlineStr">
        <is>
          <t>Unité</t>
        </is>
      </c>
      <c r="D13" s="10" t="inlineStr">
        <is>
          <t>PU HT</t>
        </is>
      </c>
      <c r="E13" s="10" t="inlineStr">
        <is>
          <t>Remise %</t>
        </is>
      </c>
      <c r="F13" s="10" t="inlineStr">
        <is>
          <t>TVA</t>
        </is>
      </c>
      <c r="G13" s="10" t="inlineStr">
        <is>
          <t>Total HT</t>
        </is>
      </c>
    </row>
    <row r="14">
      <c r="A14" s="5" t="inlineStr">
        <is>
          <t>Prestation de conseil</t>
        </is>
      </c>
      <c r="B14" s="5" t="n">
        <v>2</v>
      </c>
      <c r="C14" s="5" t="inlineStr">
        <is>
          <t>jour</t>
        </is>
      </c>
      <c r="D14" s="11" t="n">
        <v>650</v>
      </c>
      <c r="E14" s="12" t="n">
        <v>0</v>
      </c>
      <c r="F14" s="12" t="n">
        <v>0.2</v>
      </c>
      <c r="G14" s="13">
        <f>IF(OR(B14="",D14=""),"",ROUND(B14*D14*(1-N(E14)),2))</f>
        <v/>
      </c>
    </row>
    <row r="15">
      <c r="A15" s="5" t="inlineStr">
        <is>
          <t>Fourniture matériel</t>
        </is>
      </c>
      <c r="B15" s="5" t="n">
        <v>3</v>
      </c>
      <c r="C15" s="5" t="inlineStr">
        <is>
          <t>u</t>
        </is>
      </c>
      <c r="D15" s="11" t="n">
        <v>120</v>
      </c>
      <c r="E15" s="12" t="n">
        <v>0.1</v>
      </c>
      <c r="F15" s="12" t="n">
        <v>0.2</v>
      </c>
      <c r="G15" s="13">
        <f>IF(OR(B15="",D15=""),"",ROUND(B15*D15*(1-N(E15)),2))</f>
        <v/>
      </c>
    </row>
    <row r="16">
      <c r="A16" s="5" t="inlineStr">
        <is>
          <t>Formation</t>
        </is>
      </c>
      <c r="B16" s="5" t="n">
        <v>1</v>
      </c>
      <c r="C16" s="5" t="inlineStr">
        <is>
          <t>forfait</t>
        </is>
      </c>
      <c r="D16" s="11" t="n">
        <v>400</v>
      </c>
      <c r="E16" s="12" t="n">
        <v>0</v>
      </c>
      <c r="F16" s="12" t="n">
        <v>0.1</v>
      </c>
      <c r="G16" s="13">
        <f>IF(OR(B16="",D16=""),"",ROUND(B16*D16*(1-N(E16)),2))</f>
        <v/>
      </c>
    </row>
    <row r="17">
      <c r="A17" s="5" t="n"/>
      <c r="B17" s="5" t="n"/>
      <c r="C17" s="5" t="n"/>
      <c r="D17" s="11" t="n"/>
      <c r="E17" s="12" t="n"/>
      <c r="F17" s="12" t="n"/>
      <c r="G17" s="13">
        <f>IF(OR(B17="",D17=""),"",ROUND(B17*D17*(1-N(E17)),2))</f>
        <v/>
      </c>
    </row>
    <row r="18">
      <c r="A18" s="5" t="n"/>
      <c r="B18" s="5" t="n"/>
      <c r="C18" s="5" t="n"/>
      <c r="D18" s="11" t="n"/>
      <c r="E18" s="12" t="n"/>
      <c r="F18" s="12" t="n"/>
      <c r="G18" s="13">
        <f>IF(OR(B18="",D18=""),"",ROUND(B18*D18*(1-N(E18)),2))</f>
        <v/>
      </c>
    </row>
    <row r="19">
      <c r="A19" s="5" t="n"/>
      <c r="B19" s="5" t="n"/>
      <c r="C19" s="5" t="n"/>
      <c r="D19" s="11" t="n"/>
      <c r="E19" s="12" t="n"/>
      <c r="F19" s="12" t="n"/>
      <c r="G19" s="13">
        <f>IF(OR(B19="",D19=""),"",ROUND(B19*D19*(1-N(E19)),2))</f>
        <v/>
      </c>
    </row>
    <row r="20">
      <c r="A20" s="5" t="n"/>
      <c r="B20" s="5" t="n"/>
      <c r="C20" s="5" t="n"/>
      <c r="D20" s="11" t="n"/>
      <c r="E20" s="12" t="n"/>
      <c r="F20" s="12" t="n"/>
      <c r="G20" s="13">
        <f>IF(OR(B20="",D20=""),"",ROUND(B20*D20*(1-N(E20)),2))</f>
        <v/>
      </c>
    </row>
    <row r="21">
      <c r="A21" s="5" t="n"/>
      <c r="B21" s="5" t="n"/>
      <c r="C21" s="5" t="n"/>
      <c r="D21" s="11" t="n"/>
      <c r="E21" s="12" t="n"/>
      <c r="F21" s="12" t="n"/>
      <c r="G21" s="13">
        <f>IF(OR(B21="",D21=""),"",ROUND(B21*D21*(1-N(E21)),2))</f>
        <v/>
      </c>
    </row>
    <row r="22">
      <c r="A22" s="5" t="n"/>
      <c r="B22" s="5" t="n"/>
      <c r="C22" s="5" t="n"/>
      <c r="D22" s="11" t="n"/>
      <c r="E22" s="12" t="n"/>
      <c r="F22" s="12" t="n"/>
      <c r="G22" s="13">
        <f>IF(OR(B22="",D22=""),"",ROUND(B22*D22*(1-N(E22)),2))</f>
        <v/>
      </c>
    </row>
    <row r="23">
      <c r="A23" s="5" t="n"/>
      <c r="B23" s="5" t="n"/>
      <c r="C23" s="5" t="n"/>
      <c r="D23" s="11" t="n"/>
      <c r="E23" s="12" t="n"/>
      <c r="F23" s="12" t="n"/>
      <c r="G23" s="13">
        <f>IF(OR(B23="",D23=""),"",ROUND(B23*D23*(1-N(E23)),2))</f>
        <v/>
      </c>
    </row>
    <row r="24">
      <c r="A24" s="5" t="n"/>
      <c r="B24" s="5" t="n"/>
      <c r="C24" s="5" t="n"/>
      <c r="D24" s="11" t="n"/>
      <c r="E24" s="12" t="n"/>
      <c r="F24" s="12" t="n"/>
      <c r="G24" s="13">
        <f>IF(OR(B24="",D24=""),"",ROUND(B24*D24*(1-N(E24)),2))</f>
        <v/>
      </c>
    </row>
    <row r="25">
      <c r="A25" s="5" t="n"/>
      <c r="B25" s="5" t="n"/>
      <c r="C25" s="5" t="n"/>
      <c r="D25" s="11" t="n"/>
      <c r="E25" s="12" t="n"/>
      <c r="F25" s="12" t="n"/>
      <c r="G25" s="13">
        <f>IF(OR(B25="",D25=""),"",ROUND(B25*D25*(1-N(E25)),2))</f>
        <v/>
      </c>
    </row>
    <row r="26">
      <c r="A26" s="5" t="n"/>
      <c r="B26" s="5" t="n"/>
      <c r="C26" s="5" t="n"/>
      <c r="D26" s="11" t="n"/>
      <c r="E26" s="12" t="n"/>
      <c r="F26" s="12" t="n"/>
      <c r="G26" s="13">
        <f>IF(OR(B26="",D26=""),"",ROUND(B26*D26*(1-N(E26)),2))</f>
        <v/>
      </c>
    </row>
    <row r="27">
      <c r="A27" s="5" t="n"/>
      <c r="B27" s="5" t="n"/>
      <c r="C27" s="5" t="n"/>
      <c r="D27" s="11" t="n"/>
      <c r="E27" s="12" t="n"/>
      <c r="F27" s="12" t="n"/>
      <c r="G27" s="13">
        <f>IF(OR(B27="",D27=""),"",ROUND(B27*D27*(1-N(E27)),2))</f>
        <v/>
      </c>
    </row>
    <row r="28">
      <c r="A28" s="5" t="n"/>
      <c r="B28" s="5" t="n"/>
      <c r="C28" s="5" t="n"/>
      <c r="D28" s="11" t="n"/>
      <c r="E28" s="12" t="n"/>
      <c r="F28" s="12" t="n"/>
      <c r="G28" s="13">
        <f>IF(OR(B28="",D28=""),"",ROUND(B28*D28*(1-N(E28)),2))</f>
        <v/>
      </c>
    </row>
    <row r="29">
      <c r="A29" s="5" t="n"/>
      <c r="B29" s="5" t="n"/>
      <c r="C29" s="5" t="n"/>
      <c r="D29" s="11" t="n"/>
      <c r="E29" s="12" t="n"/>
      <c r="F29" s="12" t="n"/>
      <c r="G29" s="13">
        <f>IF(OR(B29="",D29=""),"",ROUND(B29*D29*(1-N(E29)),2))</f>
        <v/>
      </c>
    </row>
    <row r="30">
      <c r="A30" s="5" t="n"/>
      <c r="B30" s="5" t="n"/>
      <c r="C30" s="5" t="n"/>
      <c r="D30" s="11" t="n"/>
      <c r="E30" s="12" t="n"/>
      <c r="F30" s="12" t="n"/>
      <c r="G30" s="13">
        <f>IF(OR(B30="",D30=""),"",ROUND(B30*D30*(1-N(E30)),2))</f>
        <v/>
      </c>
    </row>
    <row r="31">
      <c r="A31" s="5" t="n"/>
      <c r="B31" s="5" t="n"/>
      <c r="C31" s="5" t="n"/>
      <c r="D31" s="11" t="n"/>
      <c r="E31" s="12" t="n"/>
      <c r="F31" s="12" t="n"/>
      <c r="G31" s="13">
        <f>IF(OR(B31="",D31=""),"",ROUND(B31*D31*(1-N(E31)),2))</f>
        <v/>
      </c>
    </row>
    <row r="32">
      <c r="A32" s="5" t="n"/>
      <c r="B32" s="5" t="n"/>
      <c r="C32" s="5" t="n"/>
      <c r="D32" s="11" t="n"/>
      <c r="E32" s="12" t="n"/>
      <c r="F32" s="12" t="n"/>
      <c r="G32" s="13">
        <f>IF(OR(B32="",D32=""),"",ROUND(B32*D32*(1-N(E32)),2))</f>
        <v/>
      </c>
    </row>
    <row r="33">
      <c r="A33" s="5" t="n"/>
      <c r="B33" s="5" t="n"/>
      <c r="C33" s="5" t="n"/>
      <c r="D33" s="11" t="n"/>
      <c r="E33" s="12" t="n"/>
      <c r="F33" s="12" t="n"/>
      <c r="G33" s="13">
        <f>IF(OR(B33="",D33=""),"",ROUND(B33*D33*(1-N(E33)),2))</f>
        <v/>
      </c>
    </row>
    <row r="35">
      <c r="E35" s="4" t="inlineStr">
        <is>
          <t>Total HT</t>
        </is>
      </c>
      <c r="G35" s="14">
        <f>SUM(G14:G33)</f>
        <v/>
      </c>
    </row>
    <row r="36">
      <c r="A36" s="4" t="inlineStr">
        <is>
          <t>Détail TVA</t>
        </is>
      </c>
      <c r="D36" s="10" t="inlineStr">
        <is>
          <t>Taux</t>
        </is>
      </c>
      <c r="E36" s="10" t="inlineStr">
        <is>
          <t>Base HT</t>
        </is>
      </c>
      <c r="F36" s="10" t="inlineStr">
        <is>
          <t>Montant TVA</t>
        </is>
      </c>
    </row>
    <row r="37">
      <c r="D37" s="15">
        <f>INDEX(Liste_TVA,1)</f>
        <v/>
      </c>
      <c r="E37" s="13">
        <f>SUMIFS($G$14:$G$33,$F$14:$F$33,D37)</f>
        <v/>
      </c>
      <c r="F37" s="13">
        <f>ROUND(E37*D37,2)</f>
        <v/>
      </c>
    </row>
    <row r="38">
      <c r="D38" s="15">
        <f>INDEX(Liste_TVA,2)</f>
        <v/>
      </c>
      <c r="E38" s="13">
        <f>SUMIFS($G$14:$G$33,$F$14:$F$33,D38)</f>
        <v/>
      </c>
      <c r="F38" s="13">
        <f>ROUND(E38*D38,2)</f>
        <v/>
      </c>
    </row>
    <row r="39">
      <c r="D39" s="15">
        <f>INDEX(Liste_TVA,3)</f>
        <v/>
      </c>
      <c r="E39" s="13">
        <f>SUMIFS($G$14:$G$33,$F$14:$F$33,D39)</f>
        <v/>
      </c>
      <c r="F39" s="13">
        <f>ROUND(E39*D39,2)</f>
        <v/>
      </c>
    </row>
    <row r="40">
      <c r="D40" s="15">
        <f>INDEX(Liste_TVA,4)</f>
        <v/>
      </c>
      <c r="E40" s="13">
        <f>SUMIFS($G$14:$G$33,$F$14:$F$33,D40)</f>
        <v/>
      </c>
      <c r="F40" s="13">
        <f>ROUND(E40*D40,2)</f>
        <v/>
      </c>
    </row>
    <row r="41">
      <c r="E41" s="4" t="inlineStr">
        <is>
          <t>Total TVA</t>
        </is>
      </c>
      <c r="G41" s="14">
        <f>SUM(F37:F40)</f>
        <v/>
      </c>
    </row>
    <row r="42">
      <c r="E42" s="16" t="inlineStr">
        <is>
          <t>Total TTC</t>
        </is>
      </c>
      <c r="F42" s="17" t="n"/>
      <c r="G42" s="18">
        <f>G35+G41</f>
        <v/>
      </c>
    </row>
    <row r="43">
      <c r="A43" s="19">
        <f>IF(ABS(SUM(E37:E40)-G35)&gt;0.005,"⚠ Des lignes ont un taux de TVA absent de la liste","")</f>
        <v/>
      </c>
    </row>
    <row r="44">
      <c r="E44" s="4" t="inlineStr">
        <is>
          <t>Acompte reçu</t>
        </is>
      </c>
      <c r="G44" s="11" t="n">
        <v>500</v>
      </c>
    </row>
    <row r="45">
      <c r="E45" s="20" t="inlineStr">
        <is>
          <t>Reste à payer</t>
        </is>
      </c>
      <c r="F45" s="21" t="n"/>
      <c r="G45" s="22">
        <f>G42-N(G44)</f>
        <v/>
      </c>
    </row>
    <row r="47">
      <c r="A47" s="3">
        <f>"Conditions de paiement : à "&amp;Delai_Paiement&amp;" jours, échéance le "&amp;TEXT(F4,"dd/mm/yyyy")&amp;", par virement — IBAN : "&amp;Soc_IBAN</f>
        <v/>
      </c>
    </row>
    <row r="48">
      <c r="A48" s="3">
        <f>"Escompte pour paiement anticipé : "&amp;Escompte</f>
        <v/>
      </c>
    </row>
    <row r="49">
      <c r="A49" s="3">
        <f>"Pénalités de retard : "&amp;Penalites&amp;", exigibles dès le lendemain de l'échéance (art. L441-10 C. com.)."</f>
        <v/>
      </c>
    </row>
    <row r="50">
      <c r="A50" s="3" t="inlineStr">
        <is>
          <t>Indemnité forfaitaire pour frais de recouvrement en cas de retard : 40 € (art. D441-5 C. com.).</t>
        </is>
      </c>
    </row>
    <row r="51">
      <c r="A51" s="3">
        <f>Soc_Nom&amp;" — "&amp;Soc_RCS&amp;" — Capital : "&amp;Soc_Capital&amp;" — SIRET : "&amp;Soc_SIRET&amp;" — TVA : "&amp;Soc_TVA</f>
        <v/>
      </c>
    </row>
    <row r="52">
      <c r="A52" s="3" t="inlineStr">
        <is>
          <t>Gabarit indicatif : vérifier les mentions applicables à votre situation (ex. franchise en base : « TVA non applicable, art. 293 B du CGI »).</t>
        </is>
      </c>
    </row>
  </sheetData>
  <mergeCells count="11">
    <mergeCell ref="F3:G3"/>
    <mergeCell ref="F4:G4"/>
    <mergeCell ref="F2:G2"/>
    <mergeCell ref="A51:G51"/>
    <mergeCell ref="F5:G5"/>
    <mergeCell ref="A50:G50"/>
    <mergeCell ref="A48:G48"/>
    <mergeCell ref="A52:G52"/>
    <mergeCell ref="A49:G49"/>
    <mergeCell ref="A47:G47"/>
    <mergeCell ref="B11:G11"/>
  </mergeCells>
  <dataValidations count="3">
    <dataValidation sqref="F14:F33" showDropDown="0" showInputMessage="0" showErrorMessage="0" allowBlank="1" errorTitle="Valeur invalide" error="Choisir une valeur dans la liste." type="list">
      <formula1>=Liste_TVA</formula1>
    </dataValidation>
    <dataValidation sqref="E14:E33" showDropDown="0" showInputMessage="0" showErrorMessage="0" allowBlank="0" error="Remise entre 0 % et 100 %" type="decimal" operator="between">
      <formula1>0</formula1>
      <formula2>1</formula2>
    </dataValidation>
    <dataValidation sqref="B14:B33 D14:D33" showDropDown="0" showInputMessage="0" showErrorMessage="0" allowBlank="0" type="decimal" operator="greaterThanOrEqual">
      <formula1>0</formula1>
    </dataValidation>
  </dataValidations>
  <pageMargins left="0.5" right="0.5" top="1" bottom="1" header="0.5" footer="0.5"/>
  <pageSetup orientation="portrait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Paramètres</t>
        </is>
      </c>
    </row>
    <row r="2">
      <c r="A2" s="3" t="inlineStr">
        <is>
          <t>Cellules bleu clair = à compléter. Données fictives à remplacer.</t>
        </is>
      </c>
    </row>
    <row r="4">
      <c r="A4" s="4" t="inlineStr">
        <is>
          <t>Raison sociale</t>
        </is>
      </c>
      <c r="B4" s="23" t="inlineStr">
        <is>
          <t>Votre Société SAS</t>
        </is>
      </c>
    </row>
    <row r="5">
      <c r="A5" s="4" t="inlineStr">
        <is>
          <t>Adresse</t>
        </is>
      </c>
      <c r="B5" s="23" t="inlineStr">
        <is>
          <t>1 rue Exemple, 75000 Ville</t>
        </is>
      </c>
    </row>
    <row r="6">
      <c r="A6" s="4" t="inlineStr">
        <is>
          <t>SIRET</t>
        </is>
      </c>
      <c r="B6" s="23" t="inlineStr">
        <is>
          <t>000 000 000 00000 (fictif)</t>
        </is>
      </c>
    </row>
    <row r="7">
      <c r="A7" s="4" t="inlineStr">
        <is>
          <t>N° TVA intracommunautaire</t>
        </is>
      </c>
      <c r="B7" s="23" t="inlineStr">
        <is>
          <t>FR00 000000000 (fictif)</t>
        </is>
      </c>
    </row>
    <row r="8">
      <c r="A8" s="4" t="inlineStr">
        <is>
          <t>RCS / RM</t>
        </is>
      </c>
      <c r="B8" s="23" t="inlineStr">
        <is>
          <t>RCS Ville 000 000 000 (fictif)</t>
        </is>
      </c>
    </row>
    <row r="9">
      <c r="A9" s="4" t="inlineStr">
        <is>
          <t>Capital social</t>
        </is>
      </c>
      <c r="B9" s="23" t="inlineStr">
        <is>
          <t>1 000 €</t>
        </is>
      </c>
    </row>
    <row r="10">
      <c r="A10" s="4" t="inlineStr">
        <is>
          <t>Téléphone</t>
        </is>
      </c>
      <c r="B10" s="23" t="inlineStr">
        <is>
          <t>01 00 00 00 00</t>
        </is>
      </c>
    </row>
    <row r="11">
      <c r="A11" s="4" t="inlineStr">
        <is>
          <t>E-mail</t>
        </is>
      </c>
      <c r="B11" s="23" t="inlineStr">
        <is>
          <t>contact@votre-societe.example</t>
        </is>
      </c>
    </row>
    <row r="12">
      <c r="A12" s="4" t="inlineStr">
        <is>
          <t>IBAN</t>
        </is>
      </c>
      <c r="B12" s="23" t="inlineStr">
        <is>
          <t>FR76 0000 0000 0000 0000 0000 000 (fictif)</t>
        </is>
      </c>
    </row>
    <row r="13">
      <c r="A13" s="4" t="inlineStr">
        <is>
          <t>Délai de paiement (jours)</t>
        </is>
      </c>
      <c r="B13" s="23" t="n">
        <v>30</v>
      </c>
    </row>
    <row r="14">
      <c r="A14" s="4" t="inlineStr">
        <is>
          <t>Taux pénalités de retard (annuel)</t>
        </is>
      </c>
      <c r="B14" s="23" t="inlineStr">
        <is>
          <t>3 fois le taux d'intérêt légal</t>
        </is>
      </c>
    </row>
    <row r="15">
      <c r="A15" s="4" t="inlineStr">
        <is>
          <t>Escompte pour paiement anticipé</t>
        </is>
      </c>
      <c r="B15" s="23" t="inlineStr">
        <is>
          <t>Néant</t>
        </is>
      </c>
    </row>
    <row r="17">
      <c r="A17" s="4" t="inlineStr">
        <is>
          <t>Taux de TVA</t>
        </is>
      </c>
      <c r="B17" s="10" t="inlineStr">
        <is>
          <t>Taux</t>
        </is>
      </c>
    </row>
    <row r="18">
      <c r="B18" s="12" t="n">
        <v>0.2</v>
      </c>
    </row>
    <row r="19">
      <c r="B19" s="12" t="n">
        <v>0.1</v>
      </c>
    </row>
    <row r="20">
      <c r="B20" s="12" t="n">
        <v>0.055</v>
      </c>
    </row>
    <row r="21">
      <c r="B21" s="12" t="n">
        <v>0</v>
      </c>
    </row>
  </sheetData>
  <pageMargins left="0.5" right="0.5" top="1" bottom="1" header="0.5" footer="0.5"/>
  <pageSetup orientation="portrait" paperSize="9" fitToHeight="0" fitToWidth="1"/>
  <headerFooter>
    <oddHeader/>
    <oddFooter>&amp;C&amp;"Calibri"Page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2026-10-29T21:15:43Z</dcterms:created>
  <dcterms:modified xmlns:dcterms="http://purl.org/dc/terms/" xmlns:xsi="http://www.w3.org/2001/XMLSchema-instance" xsi:type="dcterms:W3CDTF">2026-10-29T21:15:43Z</dcterms:modified>
</cp:coreProperties>
</file>