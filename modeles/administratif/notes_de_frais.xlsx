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 de frais" sheetId="1" state="visible" r:id="rId1"/>
    <sheet xmlns:r="http://schemas.openxmlformats.org/officeDocument/2006/relationships" name="Paramètres" sheetId="2" state="visible" r:id="rId2"/>
  </sheets>
  <definedNames>
    <definedName name="Liste_Categories">'Paramètres'!$A$4:$A$15</definedName>
    <definedName name="Liste_TVA">'Paramètres'!$C$4:$C$7</definedName>
    <definedName name="Taux_km">'Paramètres'!$F$14</definedName>
    <definedName name="Salarie">'Paramètres'!$B$18</definedName>
    <definedName name="Societe">'Paramètres'!$B$19</definedName>
    <definedName name="_xlnm.Print_Area" localSheetId="0">'Note de frais'!$A$1:$I$59</definedName>
    <definedName name="_xlnm.Print_Area" localSheetId="1">'Paramètres'!$A$1:$I$19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0 &quot;€/km&quot;"/>
    <numFmt numFmtId="166" formatCode="yyyy-mm-dd"/>
    <numFmt numFmtId="167" formatCode="DD/MM/YYYY"/>
    <numFmt numFmtId="168" formatCode="#,##0.00 &quot;€&quot;"/>
  </numFmts>
  <fonts count="6">
    <font>
      <name val="Calibri"/>
      <family val="2"/>
      <color theme="1"/>
      <sz val="11"/>
      <scheme val="minor"/>
    </font>
    <font>
      <name val="Calibri"/>
      <b val="1"/>
      <color rgb="001F2A44"/>
      <sz val="18"/>
    </font>
    <font>
      <name val="Calibri"/>
      <b val="1"/>
      <color rgb="00FFFFFF"/>
      <sz val="11"/>
    </font>
    <font>
      <name val="Calibri"/>
      <b val="1"/>
      <color rgb="001F2A44"/>
      <sz val="11"/>
    </font>
    <font>
      <name val="Calibri"/>
      <color rgb="00555555"/>
      <sz val="8"/>
    </font>
    <font>
      <name val="Calibri"/>
      <color rgb="00C0000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3FD"/>
      </patternFill>
    </fill>
    <fill>
      <patternFill patternType="solid">
        <fgColor rgb="002F6FED"/>
      </patternFill>
    </fill>
  </fills>
  <borders count="6">
    <border>
      <left/>
      <right/>
      <top/>
      <bottom/>
      <diagonal/>
    </border>
    <border>
      <left style="thin">
        <color rgb="00B7C0D0"/>
      </left>
      <right style="thin">
        <color rgb="00B7C0D0"/>
      </right>
      <top style="thin">
        <color rgb="00B7C0D0"/>
      </top>
      <bottom style="thin">
        <color rgb="00B7C0D0"/>
      </bottom>
    </border>
    <border>
      <left/>
      <right/>
      <top style="thin">
        <color rgb="00B7C0D0"/>
      </top>
      <bottom/>
      <diagonal/>
    </border>
    <border>
      <left/>
      <right style="thin">
        <color rgb="00B7C0D0"/>
      </right>
      <top style="thin">
        <color rgb="00B7C0D0"/>
      </top>
      <bottom/>
      <diagonal/>
    </border>
    <border>
      <left/>
      <right/>
      <top style="thin">
        <color rgb="00B7C0D0"/>
      </top>
      <bottom style="thin">
        <color rgb="00B7C0D0"/>
      </bottom>
      <diagonal/>
    </border>
    <border>
      <left/>
      <right style="thin">
        <color rgb="00B7C0D0"/>
      </right>
      <top style="thin">
        <color rgb="00B7C0D0"/>
      </top>
      <bottom style="thin">
        <color rgb="00B7C0D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167" fontId="0" fillId="3" borderId="1" pivotButton="0" quotePrefix="0" xfId="0"/>
    <xf numFmtId="0" fontId="0" fillId="3" borderId="1" pivotButton="0" quotePrefix="0" xfId="0"/>
    <xf numFmtId="168" fontId="0" fillId="3" borderId="1" pivotButton="0" quotePrefix="0" xfId="0"/>
    <xf numFmtId="164" fontId="0" fillId="3" borderId="1" pivotButton="0" quotePrefix="0" xfId="0"/>
    <xf numFmtId="168" fontId="0" fillId="0" borderId="1" pivotButton="0" quotePrefix="0" xfId="0"/>
    <xf numFmtId="0" fontId="4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168" fontId="0" fillId="0" borderId="0" pivotButton="0" quotePrefix="0" xfId="0"/>
    <xf numFmtId="0" fontId="2" fillId="4" borderId="0" pivotButton="0" quotePrefix="0" xfId="0"/>
    <xf numFmtId="0" fontId="0" fillId="4" borderId="0" pivotButton="0" quotePrefix="0" xfId="0"/>
    <xf numFmtId="1" fontId="2" fillId="4" borderId="0" pivotButton="0" quotePrefix="0" xfId="0"/>
    <xf numFmtId="168" fontId="2" fillId="4" borderId="0" pivotButton="0" quotePrefix="0" xfId="0"/>
    <xf numFmtId="0" fontId="5" fillId="0" borderId="0" pivotButton="0" quotePrefix="0" xfId="0"/>
    <xf numFmtId="168" fontId="0" fillId="3" borderId="0" pivotButton="0" quotePrefix="0" xfId="0"/>
    <xf numFmtId="168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8" customWidth="1" min="4" max="4"/>
    <col width="13" customWidth="1" min="5" max="5"/>
    <col width="9" customWidth="1" min="6" max="6"/>
    <col width="11" customWidth="1" min="7" max="7"/>
    <col width="13" customWidth="1" min="8" max="8"/>
    <col width="10" customWidth="1" min="9" max="9"/>
  </cols>
  <sheetData>
    <row r="1">
      <c r="A1" s="1" t="inlineStr">
        <is>
          <t>Note de frais</t>
        </is>
      </c>
    </row>
    <row r="2">
      <c r="A2">
        <f>"Salarié : "&amp;Salarie&amp;" — "&amp;Societe</f>
        <v/>
      </c>
      <c r="F2" t="inlineStr">
        <is>
          <t>Période :</t>
        </is>
      </c>
      <c r="G2" s="2" t="inlineStr">
        <is>
          <t>Janvier 2026</t>
        </is>
      </c>
    </row>
    <row r="4">
      <c r="A4" s="3" t="inlineStr">
        <is>
          <t>Date</t>
        </is>
      </c>
      <c r="B4" s="3" t="inlineStr">
        <is>
          <t>Catégorie</t>
        </is>
      </c>
      <c r="C4" s="3" t="inlineStr">
        <is>
          <t>Description</t>
        </is>
      </c>
      <c r="D4" s="3" t="inlineStr">
        <is>
          <t>Km</t>
        </is>
      </c>
      <c r="E4" s="3" t="inlineStr">
        <is>
          <t>Montant HT</t>
        </is>
      </c>
      <c r="F4" s="3" t="inlineStr">
        <is>
          <t>Taux TVA</t>
        </is>
      </c>
      <c r="G4" s="3" t="inlineStr">
        <is>
          <t>TVA</t>
        </is>
      </c>
      <c r="H4" s="3" t="inlineStr">
        <is>
          <t>TTC</t>
        </is>
      </c>
      <c r="I4" s="3" t="inlineStr">
        <is>
          <t>Justif. (O/N)</t>
        </is>
      </c>
    </row>
    <row r="5">
      <c r="A5" s="4" t="n">
        <v>46027</v>
      </c>
      <c r="B5" s="5" t="inlineStr">
        <is>
          <t>Transport</t>
        </is>
      </c>
      <c r="C5" s="5" t="inlineStr">
        <is>
          <t>Train aller-retour client A</t>
        </is>
      </c>
      <c r="D5" s="5" t="n"/>
      <c r="E5" s="6" t="n">
        <v>80</v>
      </c>
      <c r="F5" s="7" t="n">
        <v>0.1</v>
      </c>
      <c r="G5" s="8">
        <f>IF(N(D5)&gt;0,0,IF(E5="","",ROUND(E5*N(F5),2)))</f>
        <v/>
      </c>
      <c r="H5" s="8">
        <f>IF(N(D5)&gt;0,ROUND(D5*Taux_km,2),IF(E5="","",E5+G5))</f>
        <v/>
      </c>
      <c r="I5" s="5" t="inlineStr">
        <is>
          <t>O</t>
        </is>
      </c>
    </row>
    <row r="6">
      <c r="A6" s="4" t="n">
        <v>46028</v>
      </c>
      <c r="B6" s="5" t="inlineStr">
        <is>
          <t>Repas</t>
        </is>
      </c>
      <c r="C6" s="5" t="inlineStr">
        <is>
          <t>Déjeuner client A</t>
        </is>
      </c>
      <c r="D6" s="5" t="n"/>
      <c r="E6" s="6" t="n">
        <v>30</v>
      </c>
      <c r="F6" s="7" t="n">
        <v>0.1</v>
      </c>
      <c r="G6" s="8">
        <f>IF(N(D6)&gt;0,0,IF(E6="","",ROUND(E6*N(F6),2)))</f>
        <v/>
      </c>
      <c r="H6" s="8">
        <f>IF(N(D6)&gt;0,ROUND(D6*Taux_km,2),IF(E6="","",E6+G6))</f>
        <v/>
      </c>
      <c r="I6" s="5" t="inlineStr">
        <is>
          <t>O</t>
        </is>
      </c>
    </row>
    <row r="7">
      <c r="A7" s="4" t="n">
        <v>46030</v>
      </c>
      <c r="B7" s="5" t="inlineStr">
        <is>
          <t>Indemnités kilométriques</t>
        </is>
      </c>
      <c r="C7" s="5" t="inlineStr">
        <is>
          <t>Visite Client A</t>
        </is>
      </c>
      <c r="D7" s="5" t="n">
        <v>120</v>
      </c>
      <c r="E7" s="6" t="n"/>
      <c r="F7" s="7" t="n"/>
      <c r="G7" s="8">
        <f>IF(N(D7)&gt;0,0,IF(E7="","",ROUND(E7*N(F7),2)))</f>
        <v/>
      </c>
      <c r="H7" s="8">
        <f>IF(N(D7)&gt;0,ROUND(D7*Taux_km,2),IF(E7="","",E7+G7))</f>
        <v/>
      </c>
      <c r="I7" s="5" t="inlineStr">
        <is>
          <t>O</t>
        </is>
      </c>
    </row>
    <row r="8">
      <c r="A8" s="4" t="n"/>
      <c r="B8" s="5" t="n"/>
      <c r="C8" s="5" t="n"/>
      <c r="D8" s="5" t="n"/>
      <c r="E8" s="6" t="n"/>
      <c r="F8" s="7" t="n"/>
      <c r="G8" s="8">
        <f>IF(N(D8)&gt;0,0,IF(E8="","",ROUND(E8*N(F8),2)))</f>
        <v/>
      </c>
      <c r="H8" s="8">
        <f>IF(N(D8)&gt;0,ROUND(D8*Taux_km,2),IF(E8="","",E8+G8))</f>
        <v/>
      </c>
      <c r="I8" s="5" t="n"/>
    </row>
    <row r="9">
      <c r="A9" s="4" t="n"/>
      <c r="B9" s="5" t="n"/>
      <c r="C9" s="5" t="n"/>
      <c r="D9" s="5" t="n"/>
      <c r="E9" s="6" t="n"/>
      <c r="F9" s="7" t="n"/>
      <c r="G9" s="8">
        <f>IF(N(D9)&gt;0,0,IF(E9="","",ROUND(E9*N(F9),2)))</f>
        <v/>
      </c>
      <c r="H9" s="8">
        <f>IF(N(D9)&gt;0,ROUND(D9*Taux_km,2),IF(E9="","",E9+G9))</f>
        <v/>
      </c>
      <c r="I9" s="5" t="n"/>
    </row>
    <row r="10">
      <c r="A10" s="4" t="n"/>
      <c r="B10" s="5" t="n"/>
      <c r="C10" s="5" t="n"/>
      <c r="D10" s="5" t="n"/>
      <c r="E10" s="6" t="n"/>
      <c r="F10" s="7" t="n"/>
      <c r="G10" s="8">
        <f>IF(N(D10)&gt;0,0,IF(E10="","",ROUND(E10*N(F10),2)))</f>
        <v/>
      </c>
      <c r="H10" s="8">
        <f>IF(N(D10)&gt;0,ROUND(D10*Taux_km,2),IF(E10="","",E10+G10))</f>
        <v/>
      </c>
      <c r="I10" s="5" t="n"/>
    </row>
    <row r="11">
      <c r="A11" s="4" t="n"/>
      <c r="B11" s="5" t="n"/>
      <c r="C11" s="5" t="n"/>
      <c r="D11" s="5" t="n"/>
      <c r="E11" s="6" t="n"/>
      <c r="F11" s="7" t="n"/>
      <c r="G11" s="8">
        <f>IF(N(D11)&gt;0,0,IF(E11="","",ROUND(E11*N(F11),2)))</f>
        <v/>
      </c>
      <c r="H11" s="8">
        <f>IF(N(D11)&gt;0,ROUND(D11*Taux_km,2),IF(E11="","",E11+G11))</f>
        <v/>
      </c>
      <c r="I11" s="5" t="n"/>
    </row>
    <row r="12">
      <c r="A12" s="4" t="n"/>
      <c r="B12" s="5" t="n"/>
      <c r="C12" s="5" t="n"/>
      <c r="D12" s="5" t="n"/>
      <c r="E12" s="6" t="n"/>
      <c r="F12" s="7" t="n"/>
      <c r="G12" s="8">
        <f>IF(N(D12)&gt;0,0,IF(E12="","",ROUND(E12*N(F12),2)))</f>
        <v/>
      </c>
      <c r="H12" s="8">
        <f>IF(N(D12)&gt;0,ROUND(D12*Taux_km,2),IF(E12="","",E12+G12))</f>
        <v/>
      </c>
      <c r="I12" s="5" t="n"/>
    </row>
    <row r="13">
      <c r="A13" s="4" t="n"/>
      <c r="B13" s="5" t="n"/>
      <c r="C13" s="5" t="n"/>
      <c r="D13" s="5" t="n"/>
      <c r="E13" s="6" t="n"/>
      <c r="F13" s="7" t="n"/>
      <c r="G13" s="8">
        <f>IF(N(D13)&gt;0,0,IF(E13="","",ROUND(E13*N(F13),2)))</f>
        <v/>
      </c>
      <c r="H13" s="8">
        <f>IF(N(D13)&gt;0,ROUND(D13*Taux_km,2),IF(E13="","",E13+G13))</f>
        <v/>
      </c>
      <c r="I13" s="5" t="n"/>
    </row>
    <row r="14">
      <c r="A14" s="4" t="n"/>
      <c r="B14" s="5" t="n"/>
      <c r="C14" s="5" t="n"/>
      <c r="D14" s="5" t="n"/>
      <c r="E14" s="6" t="n"/>
      <c r="F14" s="7" t="n"/>
      <c r="G14" s="8">
        <f>IF(N(D14)&gt;0,0,IF(E14="","",ROUND(E14*N(F14),2)))</f>
        <v/>
      </c>
      <c r="H14" s="8">
        <f>IF(N(D14)&gt;0,ROUND(D14*Taux_km,2),IF(E14="","",E14+G14))</f>
        <v/>
      </c>
      <c r="I14" s="5" t="n"/>
    </row>
    <row r="15">
      <c r="A15" s="4" t="n"/>
      <c r="B15" s="5" t="n"/>
      <c r="C15" s="5" t="n"/>
      <c r="D15" s="5" t="n"/>
      <c r="E15" s="6" t="n"/>
      <c r="F15" s="7" t="n"/>
      <c r="G15" s="8">
        <f>IF(N(D15)&gt;0,0,IF(E15="","",ROUND(E15*N(F15),2)))</f>
        <v/>
      </c>
      <c r="H15" s="8">
        <f>IF(N(D15)&gt;0,ROUND(D15*Taux_km,2),IF(E15="","",E15+G15))</f>
        <v/>
      </c>
      <c r="I15" s="5" t="n"/>
    </row>
    <row r="16">
      <c r="A16" s="4" t="n"/>
      <c r="B16" s="5" t="n"/>
      <c r="C16" s="5" t="n"/>
      <c r="D16" s="5" t="n"/>
      <c r="E16" s="6" t="n"/>
      <c r="F16" s="7" t="n"/>
      <c r="G16" s="8">
        <f>IF(N(D16)&gt;0,0,IF(E16="","",ROUND(E16*N(F16),2)))</f>
        <v/>
      </c>
      <c r="H16" s="8">
        <f>IF(N(D16)&gt;0,ROUND(D16*Taux_km,2),IF(E16="","",E16+G16))</f>
        <v/>
      </c>
      <c r="I16" s="5" t="n"/>
    </row>
    <row r="17">
      <c r="A17" s="4" t="n"/>
      <c r="B17" s="5" t="n"/>
      <c r="C17" s="5" t="n"/>
      <c r="D17" s="5" t="n"/>
      <c r="E17" s="6" t="n"/>
      <c r="F17" s="7" t="n"/>
      <c r="G17" s="8">
        <f>IF(N(D17)&gt;0,0,IF(E17="","",ROUND(E17*N(F17),2)))</f>
        <v/>
      </c>
      <c r="H17" s="8">
        <f>IF(N(D17)&gt;0,ROUND(D17*Taux_km,2),IF(E17="","",E17+G17))</f>
        <v/>
      </c>
      <c r="I17" s="5" t="n"/>
    </row>
    <row r="18">
      <c r="A18" s="4" t="n"/>
      <c r="B18" s="5" t="n"/>
      <c r="C18" s="5" t="n"/>
      <c r="D18" s="5" t="n"/>
      <c r="E18" s="6" t="n"/>
      <c r="F18" s="7" t="n"/>
      <c r="G18" s="8">
        <f>IF(N(D18)&gt;0,0,IF(E18="","",ROUND(E18*N(F18),2)))</f>
        <v/>
      </c>
      <c r="H18" s="8">
        <f>IF(N(D18)&gt;0,ROUND(D18*Taux_km,2),IF(E18="","",E18+G18))</f>
        <v/>
      </c>
      <c r="I18" s="5" t="n"/>
    </row>
    <row r="19">
      <c r="A19" s="4" t="n"/>
      <c r="B19" s="5" t="n"/>
      <c r="C19" s="5" t="n"/>
      <c r="D19" s="5" t="n"/>
      <c r="E19" s="6" t="n"/>
      <c r="F19" s="7" t="n"/>
      <c r="G19" s="8">
        <f>IF(N(D19)&gt;0,0,IF(E19="","",ROUND(E19*N(F19),2)))</f>
        <v/>
      </c>
      <c r="H19" s="8">
        <f>IF(N(D19)&gt;0,ROUND(D19*Taux_km,2),IF(E19="","",E19+G19))</f>
        <v/>
      </c>
      <c r="I19" s="5" t="n"/>
    </row>
    <row r="20">
      <c r="A20" s="4" t="n"/>
      <c r="B20" s="5" t="n"/>
      <c r="C20" s="5" t="n"/>
      <c r="D20" s="5" t="n"/>
      <c r="E20" s="6" t="n"/>
      <c r="F20" s="7" t="n"/>
      <c r="G20" s="8">
        <f>IF(N(D20)&gt;0,0,IF(E20="","",ROUND(E20*N(F20),2)))</f>
        <v/>
      </c>
      <c r="H20" s="8">
        <f>IF(N(D20)&gt;0,ROUND(D20*Taux_km,2),IF(E20="","",E20+G20))</f>
        <v/>
      </c>
      <c r="I20" s="5" t="n"/>
    </row>
    <row r="21">
      <c r="A21" s="4" t="n"/>
      <c r="B21" s="5" t="n"/>
      <c r="C21" s="5" t="n"/>
      <c r="D21" s="5" t="n"/>
      <c r="E21" s="6" t="n"/>
      <c r="F21" s="7" t="n"/>
      <c r="G21" s="8">
        <f>IF(N(D21)&gt;0,0,IF(E21="","",ROUND(E21*N(F21),2)))</f>
        <v/>
      </c>
      <c r="H21" s="8">
        <f>IF(N(D21)&gt;0,ROUND(D21*Taux_km,2),IF(E21="","",E21+G21))</f>
        <v/>
      </c>
      <c r="I21" s="5" t="n"/>
    </row>
    <row r="22">
      <c r="A22" s="4" t="n"/>
      <c r="B22" s="5" t="n"/>
      <c r="C22" s="5" t="n"/>
      <c r="D22" s="5" t="n"/>
      <c r="E22" s="6" t="n"/>
      <c r="F22" s="7" t="n"/>
      <c r="G22" s="8">
        <f>IF(N(D22)&gt;0,0,IF(E22="","",ROUND(E22*N(F22),2)))</f>
        <v/>
      </c>
      <c r="H22" s="8">
        <f>IF(N(D22)&gt;0,ROUND(D22*Taux_km,2),IF(E22="","",E22+G22))</f>
        <v/>
      </c>
      <c r="I22" s="5" t="n"/>
    </row>
    <row r="23">
      <c r="A23" s="4" t="n"/>
      <c r="B23" s="5" t="n"/>
      <c r="C23" s="5" t="n"/>
      <c r="D23" s="5" t="n"/>
      <c r="E23" s="6" t="n"/>
      <c r="F23" s="7" t="n"/>
      <c r="G23" s="8">
        <f>IF(N(D23)&gt;0,0,IF(E23="","",ROUND(E23*N(F23),2)))</f>
        <v/>
      </c>
      <c r="H23" s="8">
        <f>IF(N(D23)&gt;0,ROUND(D23*Taux_km,2),IF(E23="","",E23+G23))</f>
        <v/>
      </c>
      <c r="I23" s="5" t="n"/>
    </row>
    <row r="24">
      <c r="A24" s="4" t="n"/>
      <c r="B24" s="5" t="n"/>
      <c r="C24" s="5" t="n"/>
      <c r="D24" s="5" t="n"/>
      <c r="E24" s="6" t="n"/>
      <c r="F24" s="7" t="n"/>
      <c r="G24" s="8">
        <f>IF(N(D24)&gt;0,0,IF(E24="","",ROUND(E24*N(F24),2)))</f>
        <v/>
      </c>
      <c r="H24" s="8">
        <f>IF(N(D24)&gt;0,ROUND(D24*Taux_km,2),IF(E24="","",E24+G24))</f>
        <v/>
      </c>
      <c r="I24" s="5" t="n"/>
    </row>
    <row r="25">
      <c r="A25" s="4" t="n"/>
      <c r="B25" s="5" t="n"/>
      <c r="C25" s="5" t="n"/>
      <c r="D25" s="5" t="n"/>
      <c r="E25" s="6" t="n"/>
      <c r="F25" s="7" t="n"/>
      <c r="G25" s="8">
        <f>IF(N(D25)&gt;0,0,IF(E25="","",ROUND(E25*N(F25),2)))</f>
        <v/>
      </c>
      <c r="H25" s="8">
        <f>IF(N(D25)&gt;0,ROUND(D25*Taux_km,2),IF(E25="","",E25+G25))</f>
        <v/>
      </c>
      <c r="I25" s="5" t="n"/>
    </row>
    <row r="26">
      <c r="A26" s="4" t="n"/>
      <c r="B26" s="5" t="n"/>
      <c r="C26" s="5" t="n"/>
      <c r="D26" s="5" t="n"/>
      <c r="E26" s="6" t="n"/>
      <c r="F26" s="7" t="n"/>
      <c r="G26" s="8">
        <f>IF(N(D26)&gt;0,0,IF(E26="","",ROUND(E26*N(F26),2)))</f>
        <v/>
      </c>
      <c r="H26" s="8">
        <f>IF(N(D26)&gt;0,ROUND(D26*Taux_km,2),IF(E26="","",E26+G26))</f>
        <v/>
      </c>
      <c r="I26" s="5" t="n"/>
    </row>
    <row r="27">
      <c r="A27" s="4" t="n"/>
      <c r="B27" s="5" t="n"/>
      <c r="C27" s="5" t="n"/>
      <c r="D27" s="5" t="n"/>
      <c r="E27" s="6" t="n"/>
      <c r="F27" s="7" t="n"/>
      <c r="G27" s="8">
        <f>IF(N(D27)&gt;0,0,IF(E27="","",ROUND(E27*N(F27),2)))</f>
        <v/>
      </c>
      <c r="H27" s="8">
        <f>IF(N(D27)&gt;0,ROUND(D27*Taux_km,2),IF(E27="","",E27+G27))</f>
        <v/>
      </c>
      <c r="I27" s="5" t="n"/>
    </row>
    <row r="28">
      <c r="A28" s="4" t="n"/>
      <c r="B28" s="5" t="n"/>
      <c r="C28" s="5" t="n"/>
      <c r="D28" s="5" t="n"/>
      <c r="E28" s="6" t="n"/>
      <c r="F28" s="7" t="n"/>
      <c r="G28" s="8">
        <f>IF(N(D28)&gt;0,0,IF(E28="","",ROUND(E28*N(F28),2)))</f>
        <v/>
      </c>
      <c r="H28" s="8">
        <f>IF(N(D28)&gt;0,ROUND(D28*Taux_km,2),IF(E28="","",E28+G28))</f>
        <v/>
      </c>
      <c r="I28" s="5" t="n"/>
    </row>
    <row r="29">
      <c r="A29" s="4" t="n"/>
      <c r="B29" s="5" t="n"/>
      <c r="C29" s="5" t="n"/>
      <c r="D29" s="5" t="n"/>
      <c r="E29" s="6" t="n"/>
      <c r="F29" s="7" t="n"/>
      <c r="G29" s="8">
        <f>IF(N(D29)&gt;0,0,IF(E29="","",ROUND(E29*N(F29),2)))</f>
        <v/>
      </c>
      <c r="H29" s="8">
        <f>IF(N(D29)&gt;0,ROUND(D29*Taux_km,2),IF(E29="","",E29+G29))</f>
        <v/>
      </c>
      <c r="I29" s="5" t="n"/>
    </row>
    <row r="30">
      <c r="A30" s="4" t="n"/>
      <c r="B30" s="5" t="n"/>
      <c r="C30" s="5" t="n"/>
      <c r="D30" s="5" t="n"/>
      <c r="E30" s="6" t="n"/>
      <c r="F30" s="7" t="n"/>
      <c r="G30" s="8">
        <f>IF(N(D30)&gt;0,0,IF(E30="","",ROUND(E30*N(F30),2)))</f>
        <v/>
      </c>
      <c r="H30" s="8">
        <f>IF(N(D30)&gt;0,ROUND(D30*Taux_km,2),IF(E30="","",E30+G30))</f>
        <v/>
      </c>
      <c r="I30" s="5" t="n"/>
    </row>
    <row r="31">
      <c r="A31" s="4" t="n"/>
      <c r="B31" s="5" t="n"/>
      <c r="C31" s="5" t="n"/>
      <c r="D31" s="5" t="n"/>
      <c r="E31" s="6" t="n"/>
      <c r="F31" s="7" t="n"/>
      <c r="G31" s="8">
        <f>IF(N(D31)&gt;0,0,IF(E31="","",ROUND(E31*N(F31),2)))</f>
        <v/>
      </c>
      <c r="H31" s="8">
        <f>IF(N(D31)&gt;0,ROUND(D31*Taux_km,2),IF(E31="","",E31+G31))</f>
        <v/>
      </c>
      <c r="I31" s="5" t="n"/>
    </row>
    <row r="32">
      <c r="A32" s="4" t="n"/>
      <c r="B32" s="5" t="n"/>
      <c r="C32" s="5" t="n"/>
      <c r="D32" s="5" t="n"/>
      <c r="E32" s="6" t="n"/>
      <c r="F32" s="7" t="n"/>
      <c r="G32" s="8">
        <f>IF(N(D32)&gt;0,0,IF(E32="","",ROUND(E32*N(F32),2)))</f>
        <v/>
      </c>
      <c r="H32" s="8">
        <f>IF(N(D32)&gt;0,ROUND(D32*Taux_km,2),IF(E32="","",E32+G32))</f>
        <v/>
      </c>
      <c r="I32" s="5" t="n"/>
    </row>
    <row r="33">
      <c r="A33" s="4" t="n"/>
      <c r="B33" s="5" t="n"/>
      <c r="C33" s="5" t="n"/>
      <c r="D33" s="5" t="n"/>
      <c r="E33" s="6" t="n"/>
      <c r="F33" s="7" t="n"/>
      <c r="G33" s="8">
        <f>IF(N(D33)&gt;0,0,IF(E33="","",ROUND(E33*N(F33),2)))</f>
        <v/>
      </c>
      <c r="H33" s="8">
        <f>IF(N(D33)&gt;0,ROUND(D33*Taux_km,2),IF(E33="","",E33+G33))</f>
        <v/>
      </c>
      <c r="I33" s="5" t="n"/>
    </row>
    <row r="34">
      <c r="A34" s="4" t="n"/>
      <c r="B34" s="5" t="n"/>
      <c r="C34" s="5" t="n"/>
      <c r="D34" s="5" t="n"/>
      <c r="E34" s="6" t="n"/>
      <c r="F34" s="7" t="n"/>
      <c r="G34" s="8">
        <f>IF(N(D34)&gt;0,0,IF(E34="","",ROUND(E34*N(F34),2)))</f>
        <v/>
      </c>
      <c r="H34" s="8">
        <f>IF(N(D34)&gt;0,ROUND(D34*Taux_km,2),IF(E34="","",E34+G34))</f>
        <v/>
      </c>
      <c r="I34" s="5" t="n"/>
    </row>
    <row r="35">
      <c r="A35" s="9" t="inlineStr">
        <is>
          <t>Km saisis : TTC = km × taux barème (pas de TVA). Ligne rose = justificatif manquant.</t>
        </is>
      </c>
    </row>
    <row r="37">
      <c r="A37" s="10" t="inlineStr">
        <is>
          <t>Totaux par catégorie</t>
        </is>
      </c>
      <c r="B37" s="3" t="inlineStr">
        <is>
          <t>Catégorie</t>
        </is>
      </c>
      <c r="C37" s="3" t="inlineStr"/>
      <c r="D37" s="3" t="inlineStr">
        <is>
          <t>Km</t>
        </is>
      </c>
      <c r="E37" s="3" t="inlineStr">
        <is>
          <t>HT</t>
        </is>
      </c>
      <c r="F37" s="3" t="inlineStr"/>
      <c r="G37" s="3" t="inlineStr">
        <is>
          <t>TVA</t>
        </is>
      </c>
      <c r="H37" s="3" t="inlineStr">
        <is>
          <t>TTC</t>
        </is>
      </c>
    </row>
    <row r="38">
      <c r="B38">
        <f>IF(INDEX(Liste_Categories,1)="","",INDEX(Liste_Categories,1))</f>
        <v/>
      </c>
      <c r="D38" s="11">
        <f>IF($B38="","",SUMIFS(D$5:D$34,$B$5:$B$34,$B38))</f>
        <v/>
      </c>
      <c r="E38" s="12">
        <f>IF($B38="","",SUMIFS(E$5:E$34,$B$5:$B$34,$B38))</f>
        <v/>
      </c>
      <c r="G38" s="12">
        <f>IF($B38="","",SUMIFS(G$5:G$34,$B$5:$B$34,$B38))</f>
        <v/>
      </c>
      <c r="H38" s="12">
        <f>IF($B38="","",SUMIFS(H$5:H$34,$B$5:$B$34,$B38))</f>
        <v/>
      </c>
    </row>
    <row r="39">
      <c r="B39">
        <f>IF(INDEX(Liste_Categories,2)="","",INDEX(Liste_Categories,2))</f>
        <v/>
      </c>
      <c r="D39" s="11">
        <f>IF($B39="","",SUMIFS(D$5:D$34,$B$5:$B$34,$B39))</f>
        <v/>
      </c>
      <c r="E39" s="12">
        <f>IF($B39="","",SUMIFS(E$5:E$34,$B$5:$B$34,$B39))</f>
        <v/>
      </c>
      <c r="G39" s="12">
        <f>IF($B39="","",SUMIFS(G$5:G$34,$B$5:$B$34,$B39))</f>
        <v/>
      </c>
      <c r="H39" s="12">
        <f>IF($B39="","",SUMIFS(H$5:H$34,$B$5:$B$34,$B39))</f>
        <v/>
      </c>
    </row>
    <row r="40">
      <c r="B40">
        <f>IF(INDEX(Liste_Categories,3)="","",INDEX(Liste_Categories,3))</f>
        <v/>
      </c>
      <c r="D40" s="11">
        <f>IF($B40="","",SUMIFS(D$5:D$34,$B$5:$B$34,$B40))</f>
        <v/>
      </c>
      <c r="E40" s="12">
        <f>IF($B40="","",SUMIFS(E$5:E$34,$B$5:$B$34,$B40))</f>
        <v/>
      </c>
      <c r="G40" s="12">
        <f>IF($B40="","",SUMIFS(G$5:G$34,$B$5:$B$34,$B40))</f>
        <v/>
      </c>
      <c r="H40" s="12">
        <f>IF($B40="","",SUMIFS(H$5:H$34,$B$5:$B$34,$B40))</f>
        <v/>
      </c>
    </row>
    <row r="41">
      <c r="B41">
        <f>IF(INDEX(Liste_Categories,4)="","",INDEX(Liste_Categories,4))</f>
        <v/>
      </c>
      <c r="D41" s="11">
        <f>IF($B41="","",SUMIFS(D$5:D$34,$B$5:$B$34,$B41))</f>
        <v/>
      </c>
      <c r="E41" s="12">
        <f>IF($B41="","",SUMIFS(E$5:E$34,$B$5:$B$34,$B41))</f>
        <v/>
      </c>
      <c r="G41" s="12">
        <f>IF($B41="","",SUMIFS(G$5:G$34,$B$5:$B$34,$B41))</f>
        <v/>
      </c>
      <c r="H41" s="12">
        <f>IF($B41="","",SUMIFS(H$5:H$34,$B$5:$B$34,$B41))</f>
        <v/>
      </c>
    </row>
    <row r="42">
      <c r="B42">
        <f>IF(INDEX(Liste_Categories,5)="","",INDEX(Liste_Categories,5))</f>
        <v/>
      </c>
      <c r="D42" s="11">
        <f>IF($B42="","",SUMIFS(D$5:D$34,$B$5:$B$34,$B42))</f>
        <v/>
      </c>
      <c r="E42" s="12">
        <f>IF($B42="","",SUMIFS(E$5:E$34,$B$5:$B$34,$B42))</f>
        <v/>
      </c>
      <c r="G42" s="12">
        <f>IF($B42="","",SUMIFS(G$5:G$34,$B$5:$B$34,$B42))</f>
        <v/>
      </c>
      <c r="H42" s="12">
        <f>IF($B42="","",SUMIFS(H$5:H$34,$B$5:$B$34,$B42))</f>
        <v/>
      </c>
    </row>
    <row r="43">
      <c r="B43">
        <f>IF(INDEX(Liste_Categories,6)="","",INDEX(Liste_Categories,6))</f>
        <v/>
      </c>
      <c r="D43" s="11">
        <f>IF($B43="","",SUMIFS(D$5:D$34,$B$5:$B$34,$B43))</f>
        <v/>
      </c>
      <c r="E43" s="12">
        <f>IF($B43="","",SUMIFS(E$5:E$34,$B$5:$B$34,$B43))</f>
        <v/>
      </c>
      <c r="G43" s="12">
        <f>IF($B43="","",SUMIFS(G$5:G$34,$B$5:$B$34,$B43))</f>
        <v/>
      </c>
      <c r="H43" s="12">
        <f>IF($B43="","",SUMIFS(H$5:H$34,$B$5:$B$34,$B43))</f>
        <v/>
      </c>
    </row>
    <row r="44">
      <c r="B44">
        <f>IF(INDEX(Liste_Categories,7)="","",INDEX(Liste_Categories,7))</f>
        <v/>
      </c>
      <c r="D44" s="11">
        <f>IF($B44="","",SUMIFS(D$5:D$34,$B$5:$B$34,$B44))</f>
        <v/>
      </c>
      <c r="E44" s="12">
        <f>IF($B44="","",SUMIFS(E$5:E$34,$B$5:$B$34,$B44))</f>
        <v/>
      </c>
      <c r="G44" s="12">
        <f>IF($B44="","",SUMIFS(G$5:G$34,$B$5:$B$34,$B44))</f>
        <v/>
      </c>
      <c r="H44" s="12">
        <f>IF($B44="","",SUMIFS(H$5:H$34,$B$5:$B$34,$B44))</f>
        <v/>
      </c>
    </row>
    <row r="45">
      <c r="B45">
        <f>IF(INDEX(Liste_Categories,8)="","",INDEX(Liste_Categories,8))</f>
        <v/>
      </c>
      <c r="D45" s="11">
        <f>IF($B45="","",SUMIFS(D$5:D$34,$B$5:$B$34,$B45))</f>
        <v/>
      </c>
      <c r="E45" s="12">
        <f>IF($B45="","",SUMIFS(E$5:E$34,$B$5:$B$34,$B45))</f>
        <v/>
      </c>
      <c r="G45" s="12">
        <f>IF($B45="","",SUMIFS(G$5:G$34,$B$5:$B$34,$B45))</f>
        <v/>
      </c>
      <c r="H45" s="12">
        <f>IF($B45="","",SUMIFS(H$5:H$34,$B$5:$B$34,$B45))</f>
        <v/>
      </c>
    </row>
    <row r="46">
      <c r="B46">
        <f>IF(INDEX(Liste_Categories,9)="","",INDEX(Liste_Categories,9))</f>
        <v/>
      </c>
      <c r="D46" s="11">
        <f>IF($B46="","",SUMIFS(D$5:D$34,$B$5:$B$34,$B46))</f>
        <v/>
      </c>
      <c r="E46" s="12">
        <f>IF($B46="","",SUMIFS(E$5:E$34,$B$5:$B$34,$B46))</f>
        <v/>
      </c>
      <c r="G46" s="12">
        <f>IF($B46="","",SUMIFS(G$5:G$34,$B$5:$B$34,$B46))</f>
        <v/>
      </c>
      <c r="H46" s="12">
        <f>IF($B46="","",SUMIFS(H$5:H$34,$B$5:$B$34,$B46))</f>
        <v/>
      </c>
    </row>
    <row r="47">
      <c r="B47">
        <f>IF(INDEX(Liste_Categories,10)="","",INDEX(Liste_Categories,10))</f>
        <v/>
      </c>
      <c r="D47" s="11">
        <f>IF($B47="","",SUMIFS(D$5:D$34,$B$5:$B$34,$B47))</f>
        <v/>
      </c>
      <c r="E47" s="12">
        <f>IF($B47="","",SUMIFS(E$5:E$34,$B$5:$B$34,$B47))</f>
        <v/>
      </c>
      <c r="G47" s="12">
        <f>IF($B47="","",SUMIFS(G$5:G$34,$B$5:$B$34,$B47))</f>
        <v/>
      </c>
      <c r="H47" s="12">
        <f>IF($B47="","",SUMIFS(H$5:H$34,$B$5:$B$34,$B47))</f>
        <v/>
      </c>
    </row>
    <row r="48">
      <c r="B48">
        <f>IF(INDEX(Liste_Categories,11)="","",INDEX(Liste_Categories,11))</f>
        <v/>
      </c>
      <c r="D48" s="11">
        <f>IF($B48="","",SUMIFS(D$5:D$34,$B$5:$B$34,$B48))</f>
        <v/>
      </c>
      <c r="E48" s="12">
        <f>IF($B48="","",SUMIFS(E$5:E$34,$B$5:$B$34,$B48))</f>
        <v/>
      </c>
      <c r="G48" s="12">
        <f>IF($B48="","",SUMIFS(G$5:G$34,$B$5:$B$34,$B48))</f>
        <v/>
      </c>
      <c r="H48" s="12">
        <f>IF($B48="","",SUMIFS(H$5:H$34,$B$5:$B$34,$B48))</f>
        <v/>
      </c>
    </row>
    <row r="49">
      <c r="B49">
        <f>IF(INDEX(Liste_Categories,12)="","",INDEX(Liste_Categories,12))</f>
        <v/>
      </c>
      <c r="D49" s="11">
        <f>IF($B49="","",SUMIFS(D$5:D$34,$B$5:$B$34,$B49))</f>
        <v/>
      </c>
      <c r="E49" s="12">
        <f>IF($B49="","",SUMIFS(E$5:E$34,$B$5:$B$34,$B49))</f>
        <v/>
      </c>
      <c r="G49" s="12">
        <f>IF($B49="","",SUMIFS(G$5:G$34,$B$5:$B$34,$B49))</f>
        <v/>
      </c>
      <c r="H49" s="12">
        <f>IF($B49="","",SUMIFS(H$5:H$34,$B$5:$B$34,$B49))</f>
        <v/>
      </c>
    </row>
    <row r="50">
      <c r="B50" s="13" t="inlineStr">
        <is>
          <t>TOTAL</t>
        </is>
      </c>
      <c r="C50" s="14" t="n"/>
      <c r="D50" s="15">
        <f>SUM(D5:D34)</f>
        <v/>
      </c>
      <c r="E50" s="16">
        <f>SUM(E5:E34)</f>
        <v/>
      </c>
      <c r="F50" s="14" t="n"/>
      <c r="G50" s="16">
        <f>SUM(G5:G34)</f>
        <v/>
      </c>
      <c r="H50" s="16">
        <f>SUM(H5:H34)</f>
        <v/>
      </c>
    </row>
    <row r="51">
      <c r="B51" s="17">
        <f>IF(ABS(SUM(H38:H49)-H50)&gt;0.005,"⚠ Catégorie hors liste dans la saisie","")</f>
        <v/>
      </c>
    </row>
    <row r="52">
      <c r="B52" t="inlineStr">
        <is>
          <t>Avance reçue</t>
        </is>
      </c>
      <c r="H52" s="18" t="n">
        <v>0</v>
      </c>
    </row>
    <row r="53">
      <c r="B53" s="10" t="inlineStr">
        <is>
          <t>Net à rembourser</t>
        </is>
      </c>
      <c r="H53" s="19">
        <f>H50-H52</f>
        <v/>
      </c>
    </row>
    <row r="55">
      <c r="A55" s="10" t="inlineStr">
        <is>
          <t>Validation</t>
        </is>
      </c>
    </row>
    <row r="56">
      <c r="A56" s="3" t="inlineStr">
        <is>
          <t>Rôle</t>
        </is>
      </c>
      <c r="B56" s="3" t="inlineStr">
        <is>
          <t>Nom</t>
        </is>
      </c>
      <c r="C56" s="3" t="inlineStr">
        <is>
          <t>Date</t>
        </is>
      </c>
      <c r="D56" s="3" t="inlineStr">
        <is>
          <t>Signature</t>
        </is>
      </c>
      <c r="E56" s="20" t="n"/>
      <c r="F56" s="20" t="n"/>
      <c r="G56" s="20" t="n"/>
      <c r="H56" s="20" t="n"/>
      <c r="I56" s="21" t="n"/>
    </row>
    <row r="57" ht="30" customHeight="1">
      <c r="A57" s="22" t="inlineStr">
        <is>
          <t>Salarié</t>
        </is>
      </c>
      <c r="B57" s="23" t="n"/>
      <c r="C57" s="24" t="n"/>
      <c r="D57" s="23" t="n"/>
      <c r="E57" s="23" t="n"/>
      <c r="F57" s="23" t="n"/>
      <c r="G57" s="23" t="n"/>
      <c r="H57" s="23" t="n"/>
      <c r="I57" s="23" t="n"/>
    </row>
    <row r="58" ht="30" customHeight="1">
      <c r="A58" s="22" t="inlineStr">
        <is>
          <t>Responsable</t>
        </is>
      </c>
      <c r="B58" s="23" t="n"/>
      <c r="C58" s="24" t="n"/>
      <c r="D58" s="23" t="n"/>
      <c r="E58" s="23" t="n"/>
      <c r="F58" s="23" t="n"/>
      <c r="G58" s="23" t="n"/>
      <c r="H58" s="23" t="n"/>
      <c r="I58" s="23" t="n"/>
    </row>
    <row r="59" ht="30" customHeight="1">
      <c r="A59" s="22" t="inlineStr">
        <is>
          <t>Comptabilité</t>
        </is>
      </c>
      <c r="B59" s="23" t="n"/>
      <c r="C59" s="24" t="n"/>
      <c r="D59" s="23" t="n"/>
      <c r="E59" s="23" t="n"/>
      <c r="F59" s="23" t="n"/>
      <c r="G59" s="23" t="n"/>
      <c r="H59" s="23" t="n"/>
      <c r="I59" s="23" t="n"/>
    </row>
  </sheetData>
  <mergeCells count="1">
    <mergeCell ref="D56:I56"/>
  </mergeCells>
  <conditionalFormatting sqref="A5:I34">
    <cfRule type="expression" priority="1" dxfId="0">
      <formula>AND($B5&lt;&gt;"",$I5&lt;&gt;"O")</formula>
    </cfRule>
  </conditionalFormatting>
  <dataValidations count="3">
    <dataValidation sqref="B5:B34" showDropDown="0" showInputMessage="0" showErrorMessage="0" allowBlank="1" errorTitle="Valeur invalide" error="Choisir une valeur dans la liste." type="list">
      <formula1>=Liste_Categories</formula1>
    </dataValidation>
    <dataValidation sqref="F5:F34" showDropDown="0" showInputMessage="0" showErrorMessage="0" allowBlank="1" errorTitle="Valeur invalide" error="Choisir une valeur dans la liste." type="list">
      <formula1>=Liste_TVA</formula1>
    </dataValidation>
    <dataValidation sqref="I5:I34" showDropDown="0" showInputMessage="0" showErrorMessage="0" allowBlank="1" errorTitle="Valeur invalide" error="Choisir une valeur dans la liste." type="list">
      <formula1>"O,N"</formula1>
    </dataValidation>
  </dataValidations>
  <pageMargins left="0.5" right="0.5" top="1" bottom="1" header="0.5" footer="0.5"/>
  <pageSetup orientation="landscape" paperSize="9" fitToHeight="0" fitToWidth="1"/>
  <headerFooter>
    <oddHeader/>
    <oddFooter>&amp;C&amp;"Calibri"Page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30" customWidth="1" min="5" max="5"/>
    <col width="18" customWidth="1" min="6" max="6"/>
    <col width="22" customWidth="1" min="7" max="7"/>
    <col width="10" customWidth="1" min="8" max="8"/>
    <col width="16" customWidth="1" min="9" max="9"/>
  </cols>
  <sheetData>
    <row r="1">
      <c r="A1" s="1" t="inlineStr">
        <is>
          <t>Paramètres</t>
        </is>
      </c>
    </row>
    <row r="3">
      <c r="A3" s="3" t="inlineStr">
        <is>
          <t>Catégories</t>
        </is>
      </c>
      <c r="C3" s="3" t="inlineStr">
        <is>
          <t>Taux TVA</t>
        </is>
      </c>
      <c r="E3" s="10" t="inlineStr">
        <is>
          <t>Barème kilométrique (exemple — à mettre à jour avec le barème officiel en vigueur)</t>
        </is>
      </c>
    </row>
    <row r="4">
      <c r="A4" s="5" t="inlineStr">
        <is>
          <t>Transport</t>
        </is>
      </c>
      <c r="C4" s="7" t="n">
        <v>0.2</v>
      </c>
      <c r="E4" t="inlineStr">
        <is>
          <t>Puissance du véhicule (CV)</t>
        </is>
      </c>
      <c r="F4" s="2" t="n">
        <v>5</v>
      </c>
    </row>
    <row r="5">
      <c r="A5" s="5" t="inlineStr">
        <is>
          <t>Hébergement</t>
        </is>
      </c>
      <c r="C5" s="7" t="n">
        <v>0.1</v>
      </c>
      <c r="E5" t="inlineStr">
        <is>
          <t>Distance annuelle estimée (km)</t>
        </is>
      </c>
      <c r="F5" s="2" t="n">
        <v>6000</v>
      </c>
    </row>
    <row r="6">
      <c r="A6" s="5" t="inlineStr">
        <is>
          <t>Repas</t>
        </is>
      </c>
      <c r="C6" s="7" t="n">
        <v>0.055</v>
      </c>
    </row>
    <row r="7">
      <c r="A7" s="5" t="inlineStr">
        <is>
          <t>Indemnités kilométriques</t>
        </is>
      </c>
      <c r="C7" s="7" t="n">
        <v>0</v>
      </c>
      <c r="E7" s="3" t="inlineStr">
        <is>
          <t>CV</t>
        </is>
      </c>
      <c r="F7" s="3" t="inlineStr">
        <is>
          <t>≤ 5 000 km : d × a</t>
        </is>
      </c>
      <c r="G7" s="3" t="inlineStr">
        <is>
          <t>5 001–20 000 : d × a + b (a)</t>
        </is>
      </c>
      <c r="H7" s="3" t="inlineStr">
        <is>
          <t>(b)</t>
        </is>
      </c>
      <c r="I7" s="3" t="inlineStr">
        <is>
          <t>&gt; 20 000 : d × a</t>
        </is>
      </c>
    </row>
    <row r="8">
      <c r="A8" s="5" t="inlineStr">
        <is>
          <t>Fournitures</t>
        </is>
      </c>
      <c r="E8" s="5" t="n">
        <v>3</v>
      </c>
      <c r="F8" s="5" t="n">
        <v>0.529</v>
      </c>
      <c r="G8" s="5" t="n">
        <v>0.316</v>
      </c>
      <c r="H8" s="5" t="n">
        <v>1065</v>
      </c>
      <c r="I8" s="5" t="n">
        <v>0.37</v>
      </c>
    </row>
    <row r="9">
      <c r="A9" s="5" t="inlineStr">
        <is>
          <t>Autre</t>
        </is>
      </c>
      <c r="E9" s="5" t="n">
        <v>4</v>
      </c>
      <c r="F9" s="5" t="n">
        <v>0.606</v>
      </c>
      <c r="G9" s="5" t="n">
        <v>0.34</v>
      </c>
      <c r="H9" s="5" t="n">
        <v>1330</v>
      </c>
      <c r="I9" s="5" t="n">
        <v>0.407</v>
      </c>
    </row>
    <row r="10">
      <c r="A10" s="5" t="n"/>
      <c r="E10" s="5" t="n">
        <v>5</v>
      </c>
      <c r="F10" s="5" t="n">
        <v>0.636</v>
      </c>
      <c r="G10" s="5" t="n">
        <v>0.357</v>
      </c>
      <c r="H10" s="5" t="n">
        <v>1395</v>
      </c>
      <c r="I10" s="5" t="n">
        <v>0.427</v>
      </c>
    </row>
    <row r="11">
      <c r="A11" s="5" t="n"/>
      <c r="E11" s="5" t="n">
        <v>6</v>
      </c>
      <c r="F11" s="5" t="n">
        <v>0.665</v>
      </c>
      <c r="G11" s="5" t="n">
        <v>0.374</v>
      </c>
      <c r="H11" s="5" t="n">
        <v>1457</v>
      </c>
      <c r="I11" s="5" t="n">
        <v>0.447</v>
      </c>
    </row>
    <row r="12">
      <c r="A12" s="5" t="n"/>
      <c r="E12" s="5" t="n">
        <v>7</v>
      </c>
      <c r="F12" s="5" t="n">
        <v>0.697</v>
      </c>
      <c r="G12" s="5" t="n">
        <v>0.394</v>
      </c>
      <c r="H12" s="5" t="n">
        <v>1515</v>
      </c>
      <c r="I12" s="5" t="n">
        <v>0.47</v>
      </c>
    </row>
    <row r="13">
      <c r="A13" s="5" t="n"/>
    </row>
    <row r="14">
      <c r="A14" s="5" t="n"/>
      <c r="E14" s="10" t="inlineStr">
        <is>
          <t>Taux retenu (€/km, sans la part fixe b)</t>
        </is>
      </c>
      <c r="F14" s="25">
        <f>IFERROR(IF(F5&lt;=5000,INDEX(F8:F12,MATCH(F4,E8:E12,0)),IF(F5&lt;=20000,INDEX(G8:G12,MATCH(F4,E8:E12,0)),INDEX(I8:I12,MATCH(F4,E8:E12,0)))),0)</f>
        <v/>
      </c>
    </row>
    <row r="15">
      <c r="A15" s="5" t="n"/>
      <c r="E15" s="9" t="inlineStr">
        <is>
          <t>Les valeurs du barème ci-dessus sont des exemples à vérifier (barème URSSAF/impots.gouv de l'année).</t>
        </is>
      </c>
    </row>
    <row r="18">
      <c r="A18" t="inlineStr">
        <is>
          <t>Salarié</t>
        </is>
      </c>
      <c r="B18" s="2" t="inlineStr">
        <is>
          <t>Personne A</t>
        </is>
      </c>
    </row>
    <row r="19">
      <c r="A19" t="inlineStr">
        <is>
          <t>Société</t>
        </is>
      </c>
      <c r="B19" s="2" t="inlineStr">
        <is>
          <t>Votre Société SAS</t>
        </is>
      </c>
    </row>
  </sheetData>
  <pageMargins left="0.5" right="0.5" top="1" bottom="1" header="0.5" footer="0.5"/>
  <pageSetup orientation="landscape" paperSize="9" fitToHeight="0" fitToWidth="1"/>
  <headerFooter>
    <oddHeader/>
    <oddFooter>&amp;C&amp;"Calibri"Page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2026-10-29T21:15:43Z</dcterms:created>
  <dcterms:modified xmlns:dcterms="http://purl.org/dc/terms/" xmlns:xsi="http://www.w3.org/2001/XMLSchema-instance" xsi:type="dcterms:W3CDTF">2026-10-29T21:15:43Z</dcterms:modified>
</cp:coreProperties>
</file>