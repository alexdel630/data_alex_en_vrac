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Projets" sheetId="2" state="visible" r:id="rId2"/>
    <sheet xmlns:r="http://schemas.openxmlformats.org/officeDocument/2006/relationships" name="Synthèse" sheetId="3" state="visible" r:id="rId3"/>
  </sheets>
  <definedNames>
    <definedName name="_xlnm._FilterDatabase" localSheetId="1" hidden="1">'Projets'!$A$1:$M$51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#,##0 €;[Red]-#,##0 €"/>
    <numFmt numFmtId="166" formatCode="DD/MM/YYYY"/>
    <numFmt numFmtId="167" formatCode="#,##0 €"/>
  </numFmts>
  <fonts count="5">
    <font>
      <name val="Calibri"/>
      <family val="2"/>
      <color theme="1"/>
      <sz val="11"/>
      <scheme val="minor"/>
    </font>
    <font>
      <name val="Calibri"/>
      <b val="1"/>
      <color rgb="001F2A44"/>
      <sz val="16"/>
    </font>
    <font>
      <name val="Calibri"/>
      <sz val="11"/>
    </font>
    <font>
      <name val="Calibri"/>
      <i val="1"/>
      <color rgb="002F6FED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2">
    <border>
      <left/>
      <right/>
      <top/>
      <bottom/>
      <diagonal/>
    </border>
    <border>
      <left style="thin">
        <color rgb="00BFC5D2"/>
      </left>
      <right style="thin">
        <color rgb="00BFC5D2"/>
      </right>
      <top style="thin">
        <color rgb="00BFC5D2"/>
      </top>
      <bottom style="thin">
        <color rgb="00BFC5D2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9" fontId="2" fillId="0" borderId="1" applyAlignment="1" pivotButton="0" quotePrefix="0" xfId="0">
      <alignment vertical="top" wrapText="1"/>
    </xf>
    <xf numFmtId="165" fontId="2" fillId="0" borderId="1" applyAlignment="1" pivotButton="0" quotePrefix="0" xfId="0">
      <alignment vertical="top" wrapText="1"/>
    </xf>
    <xf numFmtId="166" fontId="2" fillId="0" borderId="1" applyAlignment="1" pivotButton="0" quotePrefix="0" xfId="0">
      <alignment vertical="top" wrapText="1"/>
    </xf>
    <xf numFmtId="0" fontId="4" fillId="2" borderId="1" pivotButton="0" quotePrefix="0" xfId="0"/>
    <xf numFmtId="1" fontId="2" fillId="0" borderId="1" applyAlignment="1" pivotButton="0" quotePrefix="0" xfId="0">
      <alignment vertical="top" wrapText="1"/>
    </xf>
    <xf numFmtId="167" fontId="2" fillId="0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Budget prévu vs consommé par projet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'Projets'!G1</f>
            </strRef>
          </tx>
          <spPr>
            <a:solidFill xmlns:a="http://schemas.openxmlformats.org/drawingml/2006/main">
              <a:srgbClr val="1F2A44"/>
            </a:solidFill>
            <a:ln xmlns:a="http://schemas.openxmlformats.org/drawingml/2006/main">
              <a:prstDash val="solid"/>
            </a:ln>
          </spPr>
          <cat>
            <numRef>
              <f>'Projets'!$A$2:$A$5</f>
            </numRef>
          </cat>
          <val>
            <numRef>
              <f>'Projets'!$G$2:$G$5</f>
            </numRef>
          </val>
        </ser>
        <ser>
          <idx val="1"/>
          <order val="1"/>
          <tx>
            <strRef>
              <f>'Projets'!H1</f>
            </strRef>
          </tx>
          <spPr>
            <a:solidFill xmlns:a="http://schemas.openxmlformats.org/drawingml/2006/main">
              <a:srgbClr val="2F6FED"/>
            </a:solidFill>
            <a:ln xmlns:a="http://schemas.openxmlformats.org/drawingml/2006/main">
              <a:prstDash val="solid"/>
            </a:ln>
          </spPr>
          <cat>
            <numRef>
              <f>'Projets'!$A$2:$A$5</f>
            </numRef>
          </cat>
          <val>
            <numRef>
              <f>'Projets'!$H$2:$H$5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€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Tableau de bord projets — mode d'emploi</t>
        </is>
      </c>
    </row>
    <row r="3">
      <c r="A3" s="2" t="inlineStr">
        <is>
          <t>1. Onglet « Projets » : une ligne par projet. Météo, Phase et Priorité via listes déroulantes.</t>
        </is>
      </c>
    </row>
    <row r="4">
      <c r="A4" s="2" t="inlineStr">
        <is>
          <t>2. Météo : Soleil (tout va bien), Nuage (vigilance), Orage (en difficulté).</t>
        </is>
      </c>
    </row>
    <row r="5">
      <c r="A5" s="2" t="inlineStr">
        <is>
          <t>3. Avancement en % (0 à 100 %), budgets en euros. Écart, % consommé et indicateur sont calculés.</t>
        </is>
      </c>
    </row>
    <row r="6">
      <c r="A6" s="2" t="inlineStr">
        <is>
          <t>4. Indicateur budget : « Dérive » si le % consommé dépasse l'avancement de plus de 10 points.</t>
        </is>
      </c>
    </row>
    <row r="7">
      <c r="A7" s="2" t="inlineStr">
        <is>
          <t>5. Onglet « Synthèse » : totaux, répartition par météo et graphique budget prévu / consommé.</t>
        </is>
      </c>
    </row>
    <row r="9">
      <c r="A9" s="3" t="inlineStr">
        <is>
          <t>Données d'exemple anonymisées : remplacez-les par les vôtres.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0" customWidth="1" min="4" max="4"/>
    <col width="10" customWidth="1" min="5" max="5"/>
    <col width="13" customWidth="1" min="6" max="6"/>
    <col width="15" customWidth="1" min="7" max="7"/>
    <col width="16" customWidth="1" min="8" max="8"/>
    <col width="13" customWidth="1" min="9" max="9"/>
    <col width="12" customWidth="1" min="10" max="10"/>
    <col width="16" customWidth="1" min="11" max="11"/>
    <col width="15" customWidth="1" min="12" max="12"/>
    <col width="34" customWidth="1" min="13" max="13"/>
  </cols>
  <sheetData>
    <row r="1">
      <c r="A1" s="4" t="inlineStr">
        <is>
          <t>Projet</t>
        </is>
      </c>
      <c r="B1" s="4" t="inlineStr">
        <is>
          <t>Chef de projet</t>
        </is>
      </c>
      <c r="C1" s="4" t="inlineStr">
        <is>
          <t>Phase</t>
        </is>
      </c>
      <c r="D1" s="4" t="inlineStr">
        <is>
          <t>Priorité</t>
        </is>
      </c>
      <c r="E1" s="4" t="inlineStr">
        <is>
          <t>Météo</t>
        </is>
      </c>
      <c r="F1" s="4" t="inlineStr">
        <is>
          <t>Avancement %</t>
        </is>
      </c>
      <c r="G1" s="4" t="inlineStr">
        <is>
          <t>Budget prévu (€)</t>
        </is>
      </c>
      <c r="H1" s="4" t="inlineStr">
        <is>
          <t>Budget consommé (€)</t>
        </is>
      </c>
      <c r="I1" s="4" t="inlineStr">
        <is>
          <t>Écart (€)</t>
        </is>
      </c>
      <c r="J1" s="4" t="inlineStr">
        <is>
          <t>% consommé</t>
        </is>
      </c>
      <c r="K1" s="4" t="inlineStr">
        <is>
          <t>Indicateur budget</t>
        </is>
      </c>
      <c r="L1" s="4" t="inlineStr">
        <is>
          <t>Date de fin prévue</t>
        </is>
      </c>
      <c r="M1" s="4" t="inlineStr">
        <is>
          <t>Commentaire</t>
        </is>
      </c>
    </row>
    <row r="2">
      <c r="A2" s="5" t="inlineStr">
        <is>
          <t>Projet A</t>
        </is>
      </c>
      <c r="B2" s="5" t="inlineStr">
        <is>
          <t>Personne A</t>
        </is>
      </c>
      <c r="C2" s="5" t="inlineStr">
        <is>
          <t>Réalisation</t>
        </is>
      </c>
      <c r="D2" s="5" t="inlineStr">
        <is>
          <t>Haute</t>
        </is>
      </c>
      <c r="E2" s="5" t="inlineStr">
        <is>
          <t>Soleil</t>
        </is>
      </c>
      <c r="F2" s="6" t="n">
        <v>0.6</v>
      </c>
      <c r="G2" s="7" t="n">
        <v>120000</v>
      </c>
      <c r="H2" s="7" t="n">
        <v>65000</v>
      </c>
      <c r="I2" s="7">
        <f>IF(G2="","",G2-H2)</f>
        <v/>
      </c>
      <c r="J2" s="6">
        <f>IF(OR(G2="",G2=0),"",H2/G2)</f>
        <v/>
      </c>
      <c r="K2" s="5">
        <f>IF(J2="","",IF(H2&gt;G2,"Dépassement",IF(J2-F2&gt;0.1,"Dérive","Maîtrisé")))</f>
        <v/>
      </c>
      <c r="L2" s="8" t="n">
        <v>46477</v>
      </c>
      <c r="M2" s="5" t="inlineStr">
        <is>
          <t>Conforme</t>
        </is>
      </c>
    </row>
    <row r="3">
      <c r="A3" s="5" t="inlineStr">
        <is>
          <t>Projet B</t>
        </is>
      </c>
      <c r="B3" s="5" t="inlineStr">
        <is>
          <t>Personne B</t>
        </is>
      </c>
      <c r="C3" s="5" t="inlineStr">
        <is>
          <t>Conception</t>
        </is>
      </c>
      <c r="D3" s="5" t="inlineStr">
        <is>
          <t>Moyenne</t>
        </is>
      </c>
      <c r="E3" s="5" t="inlineStr">
        <is>
          <t>Nuage</t>
        </is>
      </c>
      <c r="F3" s="6" t="n">
        <v>0.3</v>
      </c>
      <c r="G3" s="7" t="n">
        <v>80000</v>
      </c>
      <c r="H3" s="7" t="n">
        <v>40000</v>
      </c>
      <c r="I3" s="7">
        <f>IF(G3="","",G3-H3)</f>
        <v/>
      </c>
      <c r="J3" s="6">
        <f>IF(OR(G3="",G3=0),"",H3/G3)</f>
        <v/>
      </c>
      <c r="K3" s="5">
        <f>IF(J3="","",IF(H3&gt;G3,"Dépassement",IF(J3-F3&gt;0.1,"Dérive","Maîtrisé")))</f>
        <v/>
      </c>
      <c r="L3" s="8" t="n">
        <v>46568</v>
      </c>
      <c r="M3" s="5" t="inlineStr">
        <is>
          <t>Ressource manquante</t>
        </is>
      </c>
    </row>
    <row r="4">
      <c r="A4" s="5" t="inlineStr">
        <is>
          <t>Projet C</t>
        </is>
      </c>
      <c r="B4" s="5" t="inlineStr">
        <is>
          <t>Personne C</t>
        </is>
      </c>
      <c r="C4" s="5" t="inlineStr">
        <is>
          <t>Recette</t>
        </is>
      </c>
      <c r="D4" s="5" t="inlineStr">
        <is>
          <t>Haute</t>
        </is>
      </c>
      <c r="E4" s="5" t="inlineStr">
        <is>
          <t>Orage</t>
        </is>
      </c>
      <c r="F4" s="6" t="n">
        <v>0.8</v>
      </c>
      <c r="G4" s="7" t="n">
        <v>50000</v>
      </c>
      <c r="H4" s="7" t="n">
        <v>61000</v>
      </c>
      <c r="I4" s="7">
        <f>IF(G4="","",G4-H4)</f>
        <v/>
      </c>
      <c r="J4" s="6">
        <f>IF(OR(G4="",G4=0),"",H4/G4)</f>
        <v/>
      </c>
      <c r="K4" s="5">
        <f>IF(J4="","",IF(H4&gt;G4,"Dépassement",IF(J4-F4&gt;0.1,"Dérive","Maîtrisé")))</f>
        <v/>
      </c>
      <c r="L4" s="8" t="n">
        <v>46371</v>
      </c>
      <c r="M4" s="5" t="inlineStr">
        <is>
          <t>Surcoût fournisseur</t>
        </is>
      </c>
    </row>
    <row r="5">
      <c r="A5" s="5" t="inlineStr">
        <is>
          <t>Projet D</t>
        </is>
      </c>
      <c r="B5" s="5" t="inlineStr">
        <is>
          <t>Personne A</t>
        </is>
      </c>
      <c r="C5" s="5" t="inlineStr">
        <is>
          <t>Cadrage</t>
        </is>
      </c>
      <c r="D5" s="5" t="inlineStr">
        <is>
          <t>Basse</t>
        </is>
      </c>
      <c r="E5" s="5" t="inlineStr">
        <is>
          <t>Soleil</t>
        </is>
      </c>
      <c r="F5" s="6" t="n">
        <v>0.1</v>
      </c>
      <c r="G5" s="7" t="n">
        <v>30000</v>
      </c>
      <c r="H5" s="7" t="n">
        <v>2000</v>
      </c>
      <c r="I5" s="7">
        <f>IF(G5="","",G5-H5)</f>
        <v/>
      </c>
      <c r="J5" s="6">
        <f>IF(OR(G5="",G5=0),"",H5/G5)</f>
        <v/>
      </c>
      <c r="K5" s="5">
        <f>IF(J5="","",IF(H5&gt;G5,"Dépassement",IF(J5-F5&gt;0.1,"Dérive","Maîtrisé")))</f>
        <v/>
      </c>
      <c r="L5" s="8" t="n">
        <v>46660</v>
      </c>
      <c r="M5" s="5" t="inlineStr"/>
    </row>
    <row r="6">
      <c r="A6" s="5" t="n"/>
      <c r="B6" s="5" t="n"/>
      <c r="C6" s="5" t="n"/>
      <c r="D6" s="5" t="n"/>
      <c r="E6" s="5" t="n"/>
      <c r="F6" s="6" t="n"/>
      <c r="G6" s="7" t="n"/>
      <c r="H6" s="7" t="n"/>
      <c r="I6" s="7">
        <f>IF(G6="","",G6-H6)</f>
        <v/>
      </c>
      <c r="J6" s="6">
        <f>IF(OR(G6="",G6=0),"",H6/G6)</f>
        <v/>
      </c>
      <c r="K6" s="5">
        <f>IF(J6="","",IF(H6&gt;G6,"Dépassement",IF(J6-F6&gt;0.1,"Dérive","Maîtrisé")))</f>
        <v/>
      </c>
      <c r="L6" s="8" t="n"/>
      <c r="M6" s="5" t="n"/>
    </row>
    <row r="7">
      <c r="A7" s="5" t="n"/>
      <c r="B7" s="5" t="n"/>
      <c r="C7" s="5" t="n"/>
      <c r="D7" s="5" t="n"/>
      <c r="E7" s="5" t="n"/>
      <c r="F7" s="6" t="n"/>
      <c r="G7" s="7" t="n"/>
      <c r="H7" s="7" t="n"/>
      <c r="I7" s="7">
        <f>IF(G7="","",G7-H7)</f>
        <v/>
      </c>
      <c r="J7" s="6">
        <f>IF(OR(G7="",G7=0),"",H7/G7)</f>
        <v/>
      </c>
      <c r="K7" s="5">
        <f>IF(J7="","",IF(H7&gt;G7,"Dépassement",IF(J7-F7&gt;0.1,"Dérive","Maîtrisé")))</f>
        <v/>
      </c>
      <c r="L7" s="8" t="n"/>
      <c r="M7" s="5" t="n"/>
    </row>
    <row r="8">
      <c r="A8" s="5" t="n"/>
      <c r="B8" s="5" t="n"/>
      <c r="C8" s="5" t="n"/>
      <c r="D8" s="5" t="n"/>
      <c r="E8" s="5" t="n"/>
      <c r="F8" s="6" t="n"/>
      <c r="G8" s="7" t="n"/>
      <c r="H8" s="7" t="n"/>
      <c r="I8" s="7">
        <f>IF(G8="","",G8-H8)</f>
        <v/>
      </c>
      <c r="J8" s="6">
        <f>IF(OR(G8="",G8=0),"",H8/G8)</f>
        <v/>
      </c>
      <c r="K8" s="5">
        <f>IF(J8="","",IF(H8&gt;G8,"Dépassement",IF(J8-F8&gt;0.1,"Dérive","Maîtrisé")))</f>
        <v/>
      </c>
      <c r="L8" s="8" t="n"/>
      <c r="M8" s="5" t="n"/>
    </row>
    <row r="9">
      <c r="A9" s="5" t="n"/>
      <c r="B9" s="5" t="n"/>
      <c r="C9" s="5" t="n"/>
      <c r="D9" s="5" t="n"/>
      <c r="E9" s="5" t="n"/>
      <c r="F9" s="6" t="n"/>
      <c r="G9" s="7" t="n"/>
      <c r="H9" s="7" t="n"/>
      <c r="I9" s="7">
        <f>IF(G9="","",G9-H9)</f>
        <v/>
      </c>
      <c r="J9" s="6">
        <f>IF(OR(G9="",G9=0),"",H9/G9)</f>
        <v/>
      </c>
      <c r="K9" s="5">
        <f>IF(J9="","",IF(H9&gt;G9,"Dépassement",IF(J9-F9&gt;0.1,"Dérive","Maîtrisé")))</f>
        <v/>
      </c>
      <c r="L9" s="8" t="n"/>
      <c r="M9" s="5" t="n"/>
    </row>
    <row r="10">
      <c r="A10" s="5" t="n"/>
      <c r="B10" s="5" t="n"/>
      <c r="C10" s="5" t="n"/>
      <c r="D10" s="5" t="n"/>
      <c r="E10" s="5" t="n"/>
      <c r="F10" s="6" t="n"/>
      <c r="G10" s="7" t="n"/>
      <c r="H10" s="7" t="n"/>
      <c r="I10" s="7">
        <f>IF(G10="","",G10-H10)</f>
        <v/>
      </c>
      <c r="J10" s="6">
        <f>IF(OR(G10="",G10=0),"",H10/G10)</f>
        <v/>
      </c>
      <c r="K10" s="5">
        <f>IF(J10="","",IF(H10&gt;G10,"Dépassement",IF(J10-F10&gt;0.1,"Dérive","Maîtrisé")))</f>
        <v/>
      </c>
      <c r="L10" s="8" t="n"/>
      <c r="M10" s="5" t="n"/>
    </row>
    <row r="11">
      <c r="A11" s="5" t="n"/>
      <c r="B11" s="5" t="n"/>
      <c r="C11" s="5" t="n"/>
      <c r="D11" s="5" t="n"/>
      <c r="E11" s="5" t="n"/>
      <c r="F11" s="6" t="n"/>
      <c r="G11" s="7" t="n"/>
      <c r="H11" s="7" t="n"/>
      <c r="I11" s="7">
        <f>IF(G11="","",G11-H11)</f>
        <v/>
      </c>
      <c r="J11" s="6">
        <f>IF(OR(G11="",G11=0),"",H11/G11)</f>
        <v/>
      </c>
      <c r="K11" s="5">
        <f>IF(J11="","",IF(H11&gt;G11,"Dépassement",IF(J11-F11&gt;0.1,"Dérive","Maîtrisé")))</f>
        <v/>
      </c>
      <c r="L11" s="8" t="n"/>
      <c r="M11" s="5" t="n"/>
    </row>
    <row r="12">
      <c r="A12" s="5" t="n"/>
      <c r="B12" s="5" t="n"/>
      <c r="C12" s="5" t="n"/>
      <c r="D12" s="5" t="n"/>
      <c r="E12" s="5" t="n"/>
      <c r="F12" s="6" t="n"/>
      <c r="G12" s="7" t="n"/>
      <c r="H12" s="7" t="n"/>
      <c r="I12" s="7">
        <f>IF(G12="","",G12-H12)</f>
        <v/>
      </c>
      <c r="J12" s="6">
        <f>IF(OR(G12="",G12=0),"",H12/G12)</f>
        <v/>
      </c>
      <c r="K12" s="5">
        <f>IF(J12="","",IF(H12&gt;G12,"Dépassement",IF(J12-F12&gt;0.1,"Dérive","Maîtrisé")))</f>
        <v/>
      </c>
      <c r="L12" s="8" t="n"/>
      <c r="M12" s="5" t="n"/>
    </row>
    <row r="13">
      <c r="A13" s="5" t="n"/>
      <c r="B13" s="5" t="n"/>
      <c r="C13" s="5" t="n"/>
      <c r="D13" s="5" t="n"/>
      <c r="E13" s="5" t="n"/>
      <c r="F13" s="6" t="n"/>
      <c r="G13" s="7" t="n"/>
      <c r="H13" s="7" t="n"/>
      <c r="I13" s="7">
        <f>IF(G13="","",G13-H13)</f>
        <v/>
      </c>
      <c r="J13" s="6">
        <f>IF(OR(G13="",G13=0),"",H13/G13)</f>
        <v/>
      </c>
      <c r="K13" s="5">
        <f>IF(J13="","",IF(H13&gt;G13,"Dépassement",IF(J13-F13&gt;0.1,"Dérive","Maîtrisé")))</f>
        <v/>
      </c>
      <c r="L13" s="8" t="n"/>
      <c r="M13" s="5" t="n"/>
    </row>
    <row r="14">
      <c r="A14" s="5" t="n"/>
      <c r="B14" s="5" t="n"/>
      <c r="C14" s="5" t="n"/>
      <c r="D14" s="5" t="n"/>
      <c r="E14" s="5" t="n"/>
      <c r="F14" s="6" t="n"/>
      <c r="G14" s="7" t="n"/>
      <c r="H14" s="7" t="n"/>
      <c r="I14" s="7">
        <f>IF(G14="","",G14-H14)</f>
        <v/>
      </c>
      <c r="J14" s="6">
        <f>IF(OR(G14="",G14=0),"",H14/G14)</f>
        <v/>
      </c>
      <c r="K14" s="5">
        <f>IF(J14="","",IF(H14&gt;G14,"Dépassement",IF(J14-F14&gt;0.1,"Dérive","Maîtrisé")))</f>
        <v/>
      </c>
      <c r="L14" s="8" t="n"/>
      <c r="M14" s="5" t="n"/>
    </row>
    <row r="15">
      <c r="A15" s="5" t="n"/>
      <c r="B15" s="5" t="n"/>
      <c r="C15" s="5" t="n"/>
      <c r="D15" s="5" t="n"/>
      <c r="E15" s="5" t="n"/>
      <c r="F15" s="6" t="n"/>
      <c r="G15" s="7" t="n"/>
      <c r="H15" s="7" t="n"/>
      <c r="I15" s="7">
        <f>IF(G15="","",G15-H15)</f>
        <v/>
      </c>
      <c r="J15" s="6">
        <f>IF(OR(G15="",G15=0),"",H15/G15)</f>
        <v/>
      </c>
      <c r="K15" s="5">
        <f>IF(J15="","",IF(H15&gt;G15,"Dépassement",IF(J15-F15&gt;0.1,"Dérive","Maîtrisé")))</f>
        <v/>
      </c>
      <c r="L15" s="8" t="n"/>
      <c r="M15" s="5" t="n"/>
    </row>
    <row r="16">
      <c r="A16" s="5" t="n"/>
      <c r="B16" s="5" t="n"/>
      <c r="C16" s="5" t="n"/>
      <c r="D16" s="5" t="n"/>
      <c r="E16" s="5" t="n"/>
      <c r="F16" s="6" t="n"/>
      <c r="G16" s="7" t="n"/>
      <c r="H16" s="7" t="n"/>
      <c r="I16" s="7">
        <f>IF(G16="","",G16-H16)</f>
        <v/>
      </c>
      <c r="J16" s="6">
        <f>IF(OR(G16="",G16=0),"",H16/G16)</f>
        <v/>
      </c>
      <c r="K16" s="5">
        <f>IF(J16="","",IF(H16&gt;G16,"Dépassement",IF(J16-F16&gt;0.1,"Dérive","Maîtrisé")))</f>
        <v/>
      </c>
      <c r="L16" s="8" t="n"/>
      <c r="M16" s="5" t="n"/>
    </row>
    <row r="17">
      <c r="A17" s="5" t="n"/>
      <c r="B17" s="5" t="n"/>
      <c r="C17" s="5" t="n"/>
      <c r="D17" s="5" t="n"/>
      <c r="E17" s="5" t="n"/>
      <c r="F17" s="6" t="n"/>
      <c r="G17" s="7" t="n"/>
      <c r="H17" s="7" t="n"/>
      <c r="I17" s="7">
        <f>IF(G17="","",G17-H17)</f>
        <v/>
      </c>
      <c r="J17" s="6">
        <f>IF(OR(G17="",G17=0),"",H17/G17)</f>
        <v/>
      </c>
      <c r="K17" s="5">
        <f>IF(J17="","",IF(H17&gt;G17,"Dépassement",IF(J17-F17&gt;0.1,"Dérive","Maîtrisé")))</f>
        <v/>
      </c>
      <c r="L17" s="8" t="n"/>
      <c r="M17" s="5" t="n"/>
    </row>
    <row r="18">
      <c r="A18" s="5" t="n"/>
      <c r="B18" s="5" t="n"/>
      <c r="C18" s="5" t="n"/>
      <c r="D18" s="5" t="n"/>
      <c r="E18" s="5" t="n"/>
      <c r="F18" s="6" t="n"/>
      <c r="G18" s="7" t="n"/>
      <c r="H18" s="7" t="n"/>
      <c r="I18" s="7">
        <f>IF(G18="","",G18-H18)</f>
        <v/>
      </c>
      <c r="J18" s="6">
        <f>IF(OR(G18="",G18=0),"",H18/G18)</f>
        <v/>
      </c>
      <c r="K18" s="5">
        <f>IF(J18="","",IF(H18&gt;G18,"Dépassement",IF(J18-F18&gt;0.1,"Dérive","Maîtrisé")))</f>
        <v/>
      </c>
      <c r="L18" s="8" t="n"/>
      <c r="M18" s="5" t="n"/>
    </row>
    <row r="19">
      <c r="A19" s="5" t="n"/>
      <c r="B19" s="5" t="n"/>
      <c r="C19" s="5" t="n"/>
      <c r="D19" s="5" t="n"/>
      <c r="E19" s="5" t="n"/>
      <c r="F19" s="6" t="n"/>
      <c r="G19" s="7" t="n"/>
      <c r="H19" s="7" t="n"/>
      <c r="I19" s="7">
        <f>IF(G19="","",G19-H19)</f>
        <v/>
      </c>
      <c r="J19" s="6">
        <f>IF(OR(G19="",G19=0),"",H19/G19)</f>
        <v/>
      </c>
      <c r="K19" s="5">
        <f>IF(J19="","",IF(H19&gt;G19,"Dépassement",IF(J19-F19&gt;0.1,"Dérive","Maîtrisé")))</f>
        <v/>
      </c>
      <c r="L19" s="8" t="n"/>
      <c r="M19" s="5" t="n"/>
    </row>
    <row r="20">
      <c r="A20" s="5" t="n"/>
      <c r="B20" s="5" t="n"/>
      <c r="C20" s="5" t="n"/>
      <c r="D20" s="5" t="n"/>
      <c r="E20" s="5" t="n"/>
      <c r="F20" s="6" t="n"/>
      <c r="G20" s="7" t="n"/>
      <c r="H20" s="7" t="n"/>
      <c r="I20" s="7">
        <f>IF(G20="","",G20-H20)</f>
        <v/>
      </c>
      <c r="J20" s="6">
        <f>IF(OR(G20="",G20=0),"",H20/G20)</f>
        <v/>
      </c>
      <c r="K20" s="5">
        <f>IF(J20="","",IF(H20&gt;G20,"Dépassement",IF(J20-F20&gt;0.1,"Dérive","Maîtrisé")))</f>
        <v/>
      </c>
      <c r="L20" s="8" t="n"/>
      <c r="M20" s="5" t="n"/>
    </row>
    <row r="21">
      <c r="A21" s="5" t="n"/>
      <c r="B21" s="5" t="n"/>
      <c r="C21" s="5" t="n"/>
      <c r="D21" s="5" t="n"/>
      <c r="E21" s="5" t="n"/>
      <c r="F21" s="6" t="n"/>
      <c r="G21" s="7" t="n"/>
      <c r="H21" s="7" t="n"/>
      <c r="I21" s="7">
        <f>IF(G21="","",G21-H21)</f>
        <v/>
      </c>
      <c r="J21" s="6">
        <f>IF(OR(G21="",G21=0),"",H21/G21)</f>
        <v/>
      </c>
      <c r="K21" s="5">
        <f>IF(J21="","",IF(H21&gt;G21,"Dépassement",IF(J21-F21&gt;0.1,"Dérive","Maîtrisé")))</f>
        <v/>
      </c>
      <c r="L21" s="8" t="n"/>
      <c r="M21" s="5" t="n"/>
    </row>
    <row r="22">
      <c r="A22" s="5" t="n"/>
      <c r="B22" s="5" t="n"/>
      <c r="C22" s="5" t="n"/>
      <c r="D22" s="5" t="n"/>
      <c r="E22" s="5" t="n"/>
      <c r="F22" s="6" t="n"/>
      <c r="G22" s="7" t="n"/>
      <c r="H22" s="7" t="n"/>
      <c r="I22" s="7">
        <f>IF(G22="","",G22-H22)</f>
        <v/>
      </c>
      <c r="J22" s="6">
        <f>IF(OR(G22="",G22=0),"",H22/G22)</f>
        <v/>
      </c>
      <c r="K22" s="5">
        <f>IF(J22="","",IF(H22&gt;G22,"Dépassement",IF(J22-F22&gt;0.1,"Dérive","Maîtrisé")))</f>
        <v/>
      </c>
      <c r="L22" s="8" t="n"/>
      <c r="M22" s="5" t="n"/>
    </row>
    <row r="23">
      <c r="A23" s="5" t="n"/>
      <c r="B23" s="5" t="n"/>
      <c r="C23" s="5" t="n"/>
      <c r="D23" s="5" t="n"/>
      <c r="E23" s="5" t="n"/>
      <c r="F23" s="6" t="n"/>
      <c r="G23" s="7" t="n"/>
      <c r="H23" s="7" t="n"/>
      <c r="I23" s="7">
        <f>IF(G23="","",G23-H23)</f>
        <v/>
      </c>
      <c r="J23" s="6">
        <f>IF(OR(G23="",G23=0),"",H23/G23)</f>
        <v/>
      </c>
      <c r="K23" s="5">
        <f>IF(J23="","",IF(H23&gt;G23,"Dépassement",IF(J23-F23&gt;0.1,"Dérive","Maîtrisé")))</f>
        <v/>
      </c>
      <c r="L23" s="8" t="n"/>
      <c r="M23" s="5" t="n"/>
    </row>
    <row r="24">
      <c r="A24" s="5" t="n"/>
      <c r="B24" s="5" t="n"/>
      <c r="C24" s="5" t="n"/>
      <c r="D24" s="5" t="n"/>
      <c r="E24" s="5" t="n"/>
      <c r="F24" s="6" t="n"/>
      <c r="G24" s="7" t="n"/>
      <c r="H24" s="7" t="n"/>
      <c r="I24" s="7">
        <f>IF(G24="","",G24-H24)</f>
        <v/>
      </c>
      <c r="J24" s="6">
        <f>IF(OR(G24="",G24=0),"",H24/G24)</f>
        <v/>
      </c>
      <c r="K24" s="5">
        <f>IF(J24="","",IF(H24&gt;G24,"Dépassement",IF(J24-F24&gt;0.1,"Dérive","Maîtrisé")))</f>
        <v/>
      </c>
      <c r="L24" s="8" t="n"/>
      <c r="M24" s="5" t="n"/>
    </row>
    <row r="25">
      <c r="A25" s="5" t="n"/>
      <c r="B25" s="5" t="n"/>
      <c r="C25" s="5" t="n"/>
      <c r="D25" s="5" t="n"/>
      <c r="E25" s="5" t="n"/>
      <c r="F25" s="6" t="n"/>
      <c r="G25" s="7" t="n"/>
      <c r="H25" s="7" t="n"/>
      <c r="I25" s="7">
        <f>IF(G25="","",G25-H25)</f>
        <v/>
      </c>
      <c r="J25" s="6">
        <f>IF(OR(G25="",G25=0),"",H25/G25)</f>
        <v/>
      </c>
      <c r="K25" s="5">
        <f>IF(J25="","",IF(H25&gt;G25,"Dépassement",IF(J25-F25&gt;0.1,"Dérive","Maîtrisé")))</f>
        <v/>
      </c>
      <c r="L25" s="8" t="n"/>
      <c r="M25" s="5" t="n"/>
    </row>
    <row r="26">
      <c r="A26" s="5" t="n"/>
      <c r="B26" s="5" t="n"/>
      <c r="C26" s="5" t="n"/>
      <c r="D26" s="5" t="n"/>
      <c r="E26" s="5" t="n"/>
      <c r="F26" s="6" t="n"/>
      <c r="G26" s="7" t="n"/>
      <c r="H26" s="7" t="n"/>
      <c r="I26" s="7">
        <f>IF(G26="","",G26-H26)</f>
        <v/>
      </c>
      <c r="J26" s="6">
        <f>IF(OR(G26="",G26=0),"",H26/G26)</f>
        <v/>
      </c>
      <c r="K26" s="5">
        <f>IF(J26="","",IF(H26&gt;G26,"Dépassement",IF(J26-F26&gt;0.1,"Dérive","Maîtrisé")))</f>
        <v/>
      </c>
      <c r="L26" s="8" t="n"/>
      <c r="M26" s="5" t="n"/>
    </row>
    <row r="27">
      <c r="A27" s="5" t="n"/>
      <c r="B27" s="5" t="n"/>
      <c r="C27" s="5" t="n"/>
      <c r="D27" s="5" t="n"/>
      <c r="E27" s="5" t="n"/>
      <c r="F27" s="6" t="n"/>
      <c r="G27" s="7" t="n"/>
      <c r="H27" s="7" t="n"/>
      <c r="I27" s="7">
        <f>IF(G27="","",G27-H27)</f>
        <v/>
      </c>
      <c r="J27" s="6">
        <f>IF(OR(G27="",G27=0),"",H27/G27)</f>
        <v/>
      </c>
      <c r="K27" s="5">
        <f>IF(J27="","",IF(H27&gt;G27,"Dépassement",IF(J27-F27&gt;0.1,"Dérive","Maîtrisé")))</f>
        <v/>
      </c>
      <c r="L27" s="8" t="n"/>
      <c r="M27" s="5" t="n"/>
    </row>
    <row r="28">
      <c r="A28" s="5" t="n"/>
      <c r="B28" s="5" t="n"/>
      <c r="C28" s="5" t="n"/>
      <c r="D28" s="5" t="n"/>
      <c r="E28" s="5" t="n"/>
      <c r="F28" s="6" t="n"/>
      <c r="G28" s="7" t="n"/>
      <c r="H28" s="7" t="n"/>
      <c r="I28" s="7">
        <f>IF(G28="","",G28-H28)</f>
        <v/>
      </c>
      <c r="J28" s="6">
        <f>IF(OR(G28="",G28=0),"",H28/G28)</f>
        <v/>
      </c>
      <c r="K28" s="5">
        <f>IF(J28="","",IF(H28&gt;G28,"Dépassement",IF(J28-F28&gt;0.1,"Dérive","Maîtrisé")))</f>
        <v/>
      </c>
      <c r="L28" s="8" t="n"/>
      <c r="M28" s="5" t="n"/>
    </row>
    <row r="29">
      <c r="A29" s="5" t="n"/>
      <c r="B29" s="5" t="n"/>
      <c r="C29" s="5" t="n"/>
      <c r="D29" s="5" t="n"/>
      <c r="E29" s="5" t="n"/>
      <c r="F29" s="6" t="n"/>
      <c r="G29" s="7" t="n"/>
      <c r="H29" s="7" t="n"/>
      <c r="I29" s="7">
        <f>IF(G29="","",G29-H29)</f>
        <v/>
      </c>
      <c r="J29" s="6">
        <f>IF(OR(G29="",G29=0),"",H29/G29)</f>
        <v/>
      </c>
      <c r="K29" s="5">
        <f>IF(J29="","",IF(H29&gt;G29,"Dépassement",IF(J29-F29&gt;0.1,"Dérive","Maîtrisé")))</f>
        <v/>
      </c>
      <c r="L29" s="8" t="n"/>
      <c r="M29" s="5" t="n"/>
    </row>
    <row r="30">
      <c r="A30" s="5" t="n"/>
      <c r="B30" s="5" t="n"/>
      <c r="C30" s="5" t="n"/>
      <c r="D30" s="5" t="n"/>
      <c r="E30" s="5" t="n"/>
      <c r="F30" s="6" t="n"/>
      <c r="G30" s="7" t="n"/>
      <c r="H30" s="7" t="n"/>
      <c r="I30" s="7">
        <f>IF(G30="","",G30-H30)</f>
        <v/>
      </c>
      <c r="J30" s="6">
        <f>IF(OR(G30="",G30=0),"",H30/G30)</f>
        <v/>
      </c>
      <c r="K30" s="5">
        <f>IF(J30="","",IF(H30&gt;G30,"Dépassement",IF(J30-F30&gt;0.1,"Dérive","Maîtrisé")))</f>
        <v/>
      </c>
      <c r="L30" s="8" t="n"/>
      <c r="M30" s="5" t="n"/>
    </row>
    <row r="31">
      <c r="A31" s="5" t="n"/>
      <c r="B31" s="5" t="n"/>
      <c r="C31" s="5" t="n"/>
      <c r="D31" s="5" t="n"/>
      <c r="E31" s="5" t="n"/>
      <c r="F31" s="6" t="n"/>
      <c r="G31" s="7" t="n"/>
      <c r="H31" s="7" t="n"/>
      <c r="I31" s="7">
        <f>IF(G31="","",G31-H31)</f>
        <v/>
      </c>
      <c r="J31" s="6">
        <f>IF(OR(G31="",G31=0),"",H31/G31)</f>
        <v/>
      </c>
      <c r="K31" s="5">
        <f>IF(J31="","",IF(H31&gt;G31,"Dépassement",IF(J31-F31&gt;0.1,"Dérive","Maîtrisé")))</f>
        <v/>
      </c>
      <c r="L31" s="8" t="n"/>
      <c r="M31" s="5" t="n"/>
    </row>
    <row r="32">
      <c r="A32" s="5" t="n"/>
      <c r="B32" s="5" t="n"/>
      <c r="C32" s="5" t="n"/>
      <c r="D32" s="5" t="n"/>
      <c r="E32" s="5" t="n"/>
      <c r="F32" s="6" t="n"/>
      <c r="G32" s="7" t="n"/>
      <c r="H32" s="7" t="n"/>
      <c r="I32" s="7">
        <f>IF(G32="","",G32-H32)</f>
        <v/>
      </c>
      <c r="J32" s="6">
        <f>IF(OR(G32="",G32=0),"",H32/G32)</f>
        <v/>
      </c>
      <c r="K32" s="5">
        <f>IF(J32="","",IF(H32&gt;G32,"Dépassement",IF(J32-F32&gt;0.1,"Dérive","Maîtrisé")))</f>
        <v/>
      </c>
      <c r="L32" s="8" t="n"/>
      <c r="M32" s="5" t="n"/>
    </row>
    <row r="33">
      <c r="A33" s="5" t="n"/>
      <c r="B33" s="5" t="n"/>
      <c r="C33" s="5" t="n"/>
      <c r="D33" s="5" t="n"/>
      <c r="E33" s="5" t="n"/>
      <c r="F33" s="6" t="n"/>
      <c r="G33" s="7" t="n"/>
      <c r="H33" s="7" t="n"/>
      <c r="I33" s="7">
        <f>IF(G33="","",G33-H33)</f>
        <v/>
      </c>
      <c r="J33" s="6">
        <f>IF(OR(G33="",G33=0),"",H33/G33)</f>
        <v/>
      </c>
      <c r="K33" s="5">
        <f>IF(J33="","",IF(H33&gt;G33,"Dépassement",IF(J33-F33&gt;0.1,"Dérive","Maîtrisé")))</f>
        <v/>
      </c>
      <c r="L33" s="8" t="n"/>
      <c r="M33" s="5" t="n"/>
    </row>
    <row r="34">
      <c r="A34" s="5" t="n"/>
      <c r="B34" s="5" t="n"/>
      <c r="C34" s="5" t="n"/>
      <c r="D34" s="5" t="n"/>
      <c r="E34" s="5" t="n"/>
      <c r="F34" s="6" t="n"/>
      <c r="G34" s="7" t="n"/>
      <c r="H34" s="7" t="n"/>
      <c r="I34" s="7">
        <f>IF(G34="","",G34-H34)</f>
        <v/>
      </c>
      <c r="J34" s="6">
        <f>IF(OR(G34="",G34=0),"",H34/G34)</f>
        <v/>
      </c>
      <c r="K34" s="5">
        <f>IF(J34="","",IF(H34&gt;G34,"Dépassement",IF(J34-F34&gt;0.1,"Dérive","Maîtrisé")))</f>
        <v/>
      </c>
      <c r="L34" s="8" t="n"/>
      <c r="M34" s="5" t="n"/>
    </row>
    <row r="35">
      <c r="A35" s="5" t="n"/>
      <c r="B35" s="5" t="n"/>
      <c r="C35" s="5" t="n"/>
      <c r="D35" s="5" t="n"/>
      <c r="E35" s="5" t="n"/>
      <c r="F35" s="6" t="n"/>
      <c r="G35" s="7" t="n"/>
      <c r="H35" s="7" t="n"/>
      <c r="I35" s="7">
        <f>IF(G35="","",G35-H35)</f>
        <v/>
      </c>
      <c r="J35" s="6">
        <f>IF(OR(G35="",G35=0),"",H35/G35)</f>
        <v/>
      </c>
      <c r="K35" s="5">
        <f>IF(J35="","",IF(H35&gt;G35,"Dépassement",IF(J35-F35&gt;0.1,"Dérive","Maîtrisé")))</f>
        <v/>
      </c>
      <c r="L35" s="8" t="n"/>
      <c r="M35" s="5" t="n"/>
    </row>
    <row r="36">
      <c r="A36" s="5" t="n"/>
      <c r="B36" s="5" t="n"/>
      <c r="C36" s="5" t="n"/>
      <c r="D36" s="5" t="n"/>
      <c r="E36" s="5" t="n"/>
      <c r="F36" s="6" t="n"/>
      <c r="G36" s="7" t="n"/>
      <c r="H36" s="7" t="n"/>
      <c r="I36" s="7">
        <f>IF(G36="","",G36-H36)</f>
        <v/>
      </c>
      <c r="J36" s="6">
        <f>IF(OR(G36="",G36=0),"",H36/G36)</f>
        <v/>
      </c>
      <c r="K36" s="5">
        <f>IF(J36="","",IF(H36&gt;G36,"Dépassement",IF(J36-F36&gt;0.1,"Dérive","Maîtrisé")))</f>
        <v/>
      </c>
      <c r="L36" s="8" t="n"/>
      <c r="M36" s="5" t="n"/>
    </row>
    <row r="37">
      <c r="A37" s="5" t="n"/>
      <c r="B37" s="5" t="n"/>
      <c r="C37" s="5" t="n"/>
      <c r="D37" s="5" t="n"/>
      <c r="E37" s="5" t="n"/>
      <c r="F37" s="6" t="n"/>
      <c r="G37" s="7" t="n"/>
      <c r="H37" s="7" t="n"/>
      <c r="I37" s="7">
        <f>IF(G37="","",G37-H37)</f>
        <v/>
      </c>
      <c r="J37" s="6">
        <f>IF(OR(G37="",G37=0),"",H37/G37)</f>
        <v/>
      </c>
      <c r="K37" s="5">
        <f>IF(J37="","",IF(H37&gt;G37,"Dépassement",IF(J37-F37&gt;0.1,"Dérive","Maîtrisé")))</f>
        <v/>
      </c>
      <c r="L37" s="8" t="n"/>
      <c r="M37" s="5" t="n"/>
    </row>
    <row r="38">
      <c r="A38" s="5" t="n"/>
      <c r="B38" s="5" t="n"/>
      <c r="C38" s="5" t="n"/>
      <c r="D38" s="5" t="n"/>
      <c r="E38" s="5" t="n"/>
      <c r="F38" s="6" t="n"/>
      <c r="G38" s="7" t="n"/>
      <c r="H38" s="7" t="n"/>
      <c r="I38" s="7">
        <f>IF(G38="","",G38-H38)</f>
        <v/>
      </c>
      <c r="J38" s="6">
        <f>IF(OR(G38="",G38=0),"",H38/G38)</f>
        <v/>
      </c>
      <c r="K38" s="5">
        <f>IF(J38="","",IF(H38&gt;G38,"Dépassement",IF(J38-F38&gt;0.1,"Dérive","Maîtrisé")))</f>
        <v/>
      </c>
      <c r="L38" s="8" t="n"/>
      <c r="M38" s="5" t="n"/>
    </row>
    <row r="39">
      <c r="A39" s="5" t="n"/>
      <c r="B39" s="5" t="n"/>
      <c r="C39" s="5" t="n"/>
      <c r="D39" s="5" t="n"/>
      <c r="E39" s="5" t="n"/>
      <c r="F39" s="6" t="n"/>
      <c r="G39" s="7" t="n"/>
      <c r="H39" s="7" t="n"/>
      <c r="I39" s="7">
        <f>IF(G39="","",G39-H39)</f>
        <v/>
      </c>
      <c r="J39" s="6">
        <f>IF(OR(G39="",G39=0),"",H39/G39)</f>
        <v/>
      </c>
      <c r="K39" s="5">
        <f>IF(J39="","",IF(H39&gt;G39,"Dépassement",IF(J39-F39&gt;0.1,"Dérive","Maîtrisé")))</f>
        <v/>
      </c>
      <c r="L39" s="8" t="n"/>
      <c r="M39" s="5" t="n"/>
    </row>
    <row r="40">
      <c r="A40" s="5" t="n"/>
      <c r="B40" s="5" t="n"/>
      <c r="C40" s="5" t="n"/>
      <c r="D40" s="5" t="n"/>
      <c r="E40" s="5" t="n"/>
      <c r="F40" s="6" t="n"/>
      <c r="G40" s="7" t="n"/>
      <c r="H40" s="7" t="n"/>
      <c r="I40" s="7">
        <f>IF(G40="","",G40-H40)</f>
        <v/>
      </c>
      <c r="J40" s="6">
        <f>IF(OR(G40="",G40=0),"",H40/G40)</f>
        <v/>
      </c>
      <c r="K40" s="5">
        <f>IF(J40="","",IF(H40&gt;G40,"Dépassement",IF(J40-F40&gt;0.1,"Dérive","Maîtrisé")))</f>
        <v/>
      </c>
      <c r="L40" s="8" t="n"/>
      <c r="M40" s="5" t="n"/>
    </row>
    <row r="41">
      <c r="A41" s="5" t="n"/>
      <c r="B41" s="5" t="n"/>
      <c r="C41" s="5" t="n"/>
      <c r="D41" s="5" t="n"/>
      <c r="E41" s="5" t="n"/>
      <c r="F41" s="6" t="n"/>
      <c r="G41" s="7" t="n"/>
      <c r="H41" s="7" t="n"/>
      <c r="I41" s="7">
        <f>IF(G41="","",G41-H41)</f>
        <v/>
      </c>
      <c r="J41" s="6">
        <f>IF(OR(G41="",G41=0),"",H41/G41)</f>
        <v/>
      </c>
      <c r="K41" s="5">
        <f>IF(J41="","",IF(H41&gt;G41,"Dépassement",IF(J41-F41&gt;0.1,"Dérive","Maîtrisé")))</f>
        <v/>
      </c>
      <c r="L41" s="8" t="n"/>
      <c r="M41" s="5" t="n"/>
    </row>
    <row r="42">
      <c r="A42" s="5" t="n"/>
      <c r="B42" s="5" t="n"/>
      <c r="C42" s="5" t="n"/>
      <c r="D42" s="5" t="n"/>
      <c r="E42" s="5" t="n"/>
      <c r="F42" s="6" t="n"/>
      <c r="G42" s="7" t="n"/>
      <c r="H42" s="7" t="n"/>
      <c r="I42" s="7">
        <f>IF(G42="","",G42-H42)</f>
        <v/>
      </c>
      <c r="J42" s="6">
        <f>IF(OR(G42="",G42=0),"",H42/G42)</f>
        <v/>
      </c>
      <c r="K42" s="5">
        <f>IF(J42="","",IF(H42&gt;G42,"Dépassement",IF(J42-F42&gt;0.1,"Dérive","Maîtrisé")))</f>
        <v/>
      </c>
      <c r="L42" s="8" t="n"/>
      <c r="M42" s="5" t="n"/>
    </row>
    <row r="43">
      <c r="A43" s="5" t="n"/>
      <c r="B43" s="5" t="n"/>
      <c r="C43" s="5" t="n"/>
      <c r="D43" s="5" t="n"/>
      <c r="E43" s="5" t="n"/>
      <c r="F43" s="6" t="n"/>
      <c r="G43" s="7" t="n"/>
      <c r="H43" s="7" t="n"/>
      <c r="I43" s="7">
        <f>IF(G43="","",G43-H43)</f>
        <v/>
      </c>
      <c r="J43" s="6">
        <f>IF(OR(G43="",G43=0),"",H43/G43)</f>
        <v/>
      </c>
      <c r="K43" s="5">
        <f>IF(J43="","",IF(H43&gt;G43,"Dépassement",IF(J43-F43&gt;0.1,"Dérive","Maîtrisé")))</f>
        <v/>
      </c>
      <c r="L43" s="8" t="n"/>
      <c r="M43" s="5" t="n"/>
    </row>
    <row r="44">
      <c r="A44" s="5" t="n"/>
      <c r="B44" s="5" t="n"/>
      <c r="C44" s="5" t="n"/>
      <c r="D44" s="5" t="n"/>
      <c r="E44" s="5" t="n"/>
      <c r="F44" s="6" t="n"/>
      <c r="G44" s="7" t="n"/>
      <c r="H44" s="7" t="n"/>
      <c r="I44" s="7">
        <f>IF(G44="","",G44-H44)</f>
        <v/>
      </c>
      <c r="J44" s="6">
        <f>IF(OR(G44="",G44=0),"",H44/G44)</f>
        <v/>
      </c>
      <c r="K44" s="5">
        <f>IF(J44="","",IF(H44&gt;G44,"Dépassement",IF(J44-F44&gt;0.1,"Dérive","Maîtrisé")))</f>
        <v/>
      </c>
      <c r="L44" s="8" t="n"/>
      <c r="M44" s="5" t="n"/>
    </row>
    <row r="45">
      <c r="A45" s="5" t="n"/>
      <c r="B45" s="5" t="n"/>
      <c r="C45" s="5" t="n"/>
      <c r="D45" s="5" t="n"/>
      <c r="E45" s="5" t="n"/>
      <c r="F45" s="6" t="n"/>
      <c r="G45" s="7" t="n"/>
      <c r="H45" s="7" t="n"/>
      <c r="I45" s="7">
        <f>IF(G45="","",G45-H45)</f>
        <v/>
      </c>
      <c r="J45" s="6">
        <f>IF(OR(G45="",G45=0),"",H45/G45)</f>
        <v/>
      </c>
      <c r="K45" s="5">
        <f>IF(J45="","",IF(H45&gt;G45,"Dépassement",IF(J45-F45&gt;0.1,"Dérive","Maîtrisé")))</f>
        <v/>
      </c>
      <c r="L45" s="8" t="n"/>
      <c r="M45" s="5" t="n"/>
    </row>
    <row r="46">
      <c r="A46" s="5" t="n"/>
      <c r="B46" s="5" t="n"/>
      <c r="C46" s="5" t="n"/>
      <c r="D46" s="5" t="n"/>
      <c r="E46" s="5" t="n"/>
      <c r="F46" s="6" t="n"/>
      <c r="G46" s="7" t="n"/>
      <c r="H46" s="7" t="n"/>
      <c r="I46" s="7">
        <f>IF(G46="","",G46-H46)</f>
        <v/>
      </c>
      <c r="J46" s="6">
        <f>IF(OR(G46="",G46=0),"",H46/G46)</f>
        <v/>
      </c>
      <c r="K46" s="5">
        <f>IF(J46="","",IF(H46&gt;G46,"Dépassement",IF(J46-F46&gt;0.1,"Dérive","Maîtrisé")))</f>
        <v/>
      </c>
      <c r="L46" s="8" t="n"/>
      <c r="M46" s="5" t="n"/>
    </row>
    <row r="47">
      <c r="A47" s="5" t="n"/>
      <c r="B47" s="5" t="n"/>
      <c r="C47" s="5" t="n"/>
      <c r="D47" s="5" t="n"/>
      <c r="E47" s="5" t="n"/>
      <c r="F47" s="6" t="n"/>
      <c r="G47" s="7" t="n"/>
      <c r="H47" s="7" t="n"/>
      <c r="I47" s="7">
        <f>IF(G47="","",G47-H47)</f>
        <v/>
      </c>
      <c r="J47" s="6">
        <f>IF(OR(G47="",G47=0),"",H47/G47)</f>
        <v/>
      </c>
      <c r="K47" s="5">
        <f>IF(J47="","",IF(H47&gt;G47,"Dépassement",IF(J47-F47&gt;0.1,"Dérive","Maîtrisé")))</f>
        <v/>
      </c>
      <c r="L47" s="8" t="n"/>
      <c r="M47" s="5" t="n"/>
    </row>
    <row r="48">
      <c r="A48" s="5" t="n"/>
      <c r="B48" s="5" t="n"/>
      <c r="C48" s="5" t="n"/>
      <c r="D48" s="5" t="n"/>
      <c r="E48" s="5" t="n"/>
      <c r="F48" s="6" t="n"/>
      <c r="G48" s="7" t="n"/>
      <c r="H48" s="7" t="n"/>
      <c r="I48" s="7">
        <f>IF(G48="","",G48-H48)</f>
        <v/>
      </c>
      <c r="J48" s="6">
        <f>IF(OR(G48="",G48=0),"",H48/G48)</f>
        <v/>
      </c>
      <c r="K48" s="5">
        <f>IF(J48="","",IF(H48&gt;G48,"Dépassement",IF(J48-F48&gt;0.1,"Dérive","Maîtrisé")))</f>
        <v/>
      </c>
      <c r="L48" s="8" t="n"/>
      <c r="M48" s="5" t="n"/>
    </row>
    <row r="49">
      <c r="A49" s="5" t="n"/>
      <c r="B49" s="5" t="n"/>
      <c r="C49" s="5" t="n"/>
      <c r="D49" s="5" t="n"/>
      <c r="E49" s="5" t="n"/>
      <c r="F49" s="6" t="n"/>
      <c r="G49" s="7" t="n"/>
      <c r="H49" s="7" t="n"/>
      <c r="I49" s="7">
        <f>IF(G49="","",G49-H49)</f>
        <v/>
      </c>
      <c r="J49" s="6">
        <f>IF(OR(G49="",G49=0),"",H49/G49)</f>
        <v/>
      </c>
      <c r="K49" s="5">
        <f>IF(J49="","",IF(H49&gt;G49,"Dépassement",IF(J49-F49&gt;0.1,"Dérive","Maîtrisé")))</f>
        <v/>
      </c>
      <c r="L49" s="8" t="n"/>
      <c r="M49" s="5" t="n"/>
    </row>
    <row r="50">
      <c r="A50" s="5" t="n"/>
      <c r="B50" s="5" t="n"/>
      <c r="C50" s="5" t="n"/>
      <c r="D50" s="5" t="n"/>
      <c r="E50" s="5" t="n"/>
      <c r="F50" s="6" t="n"/>
      <c r="G50" s="7" t="n"/>
      <c r="H50" s="7" t="n"/>
      <c r="I50" s="7">
        <f>IF(G50="","",G50-H50)</f>
        <v/>
      </c>
      <c r="J50" s="6">
        <f>IF(OR(G50="",G50=0),"",H50/G50)</f>
        <v/>
      </c>
      <c r="K50" s="5">
        <f>IF(J50="","",IF(H50&gt;G50,"Dépassement",IF(J50-F50&gt;0.1,"Dérive","Maîtrisé")))</f>
        <v/>
      </c>
      <c r="L50" s="8" t="n"/>
      <c r="M50" s="5" t="n"/>
    </row>
    <row r="51">
      <c r="A51" s="5" t="n"/>
      <c r="B51" s="5" t="n"/>
      <c r="C51" s="5" t="n"/>
      <c r="D51" s="5" t="n"/>
      <c r="E51" s="5" t="n"/>
      <c r="F51" s="6" t="n"/>
      <c r="G51" s="7" t="n"/>
      <c r="H51" s="7" t="n"/>
      <c r="I51" s="7">
        <f>IF(G51="","",G51-H51)</f>
        <v/>
      </c>
      <c r="J51" s="6">
        <f>IF(OR(G51="",G51=0),"",H51/G51)</f>
        <v/>
      </c>
      <c r="K51" s="5">
        <f>IF(J51="","",IF(H51&gt;G51,"Dépassement",IF(J51-F51&gt;0.1,"Dérive","Maîtrisé")))</f>
        <v/>
      </c>
      <c r="L51" s="8" t="n"/>
      <c r="M51" s="5" t="n"/>
    </row>
  </sheetData>
  <autoFilter ref="A1:M51"/>
  <conditionalFormatting sqref="E2:E51">
    <cfRule type="cellIs" priority="1" operator="equal" dxfId="0">
      <formula>"Soleil"</formula>
    </cfRule>
    <cfRule type="cellIs" priority="2" operator="equal" dxfId="1">
      <formula>"Nuage"</formula>
    </cfRule>
    <cfRule type="cellIs" priority="3" operator="equal" dxfId="2">
      <formula>"Orage"</formula>
    </cfRule>
  </conditionalFormatting>
  <conditionalFormatting sqref="K2:K51">
    <cfRule type="cellIs" priority="4" operator="equal" dxfId="0">
      <formula>"Maîtrisé"</formula>
    </cfRule>
    <cfRule type="cellIs" priority="5" operator="equal" dxfId="3">
      <formula>"Dérive"</formula>
    </cfRule>
    <cfRule type="cellIs" priority="6" operator="equal" dxfId="2">
      <formula>"Dépassement"</formula>
    </cfRule>
  </conditionalFormatting>
  <conditionalFormatting sqref="F2:F51">
    <cfRule type="dataBar" priority="7">
      <dataBar>
        <cfvo type="num" val="0"/>
        <cfvo type="num" val="1"/>
        <color rgb="002F6FED"/>
      </dataBar>
    </cfRule>
  </conditionalFormatting>
  <dataValidations count="4">
    <dataValidation sqref="E2:E51" showDropDown="0" showInputMessage="0" showErrorMessage="0" allowBlank="1" errorTitle="Valeur invalide" error="Choisissez une valeur dans la liste." type="list">
      <formula1>"Soleil,Nuage,Orage"</formula1>
    </dataValidation>
    <dataValidation sqref="C2:C51" showDropDown="0" showInputMessage="0" showErrorMessage="0" allowBlank="1" errorTitle="Valeur invalide" error="Choisissez une valeur dans la liste." type="list">
      <formula1>"Cadrage,Conception,Réalisation,Recette,Clôturé"</formula1>
    </dataValidation>
    <dataValidation sqref="D2:D51" showDropDown="0" showInputMessage="0" showErrorMessage="0" allowBlank="1" errorTitle="Valeur invalide" error="Choisissez une valeur dans la liste." type="list">
      <formula1>"Haute,Moyenne,Basse"</formula1>
    </dataValidation>
    <dataValidation sqref="F2:F51" showDropDown="0" showInputMessage="0" showErrorMessage="0" allowBlank="1" error="Saisissez un pourcentage entre 0 % et 100 %." type="decimal" operator="between">
      <formula1>0</formula1>
      <formula2>1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</cols>
  <sheetData>
    <row r="1">
      <c r="A1" s="1" t="inlineStr">
        <is>
          <t>Synthèse du portefeuille</t>
        </is>
      </c>
    </row>
    <row r="3">
      <c r="A3" s="9" t="inlineStr">
        <is>
          <t>Indicateur</t>
        </is>
      </c>
      <c r="B3" s="9" t="inlineStr">
        <is>
          <t>Valeur</t>
        </is>
      </c>
    </row>
    <row r="4">
      <c r="A4" s="5" t="inlineStr">
        <is>
          <t>Nombre de projets</t>
        </is>
      </c>
      <c r="B4" s="10">
        <f>COUNTA(Projets!$A$2:$A$51)</f>
        <v/>
      </c>
    </row>
    <row r="5">
      <c r="A5" s="5" t="inlineStr">
        <is>
          <t>Budget prévu total</t>
        </is>
      </c>
      <c r="B5" s="11">
        <f>SUM(Projets!G2:G51)</f>
        <v/>
      </c>
    </row>
    <row r="6">
      <c r="A6" s="5" t="inlineStr">
        <is>
          <t>Budget consommé total</t>
        </is>
      </c>
      <c r="B6" s="11">
        <f>SUM(Projets!H2:H51)</f>
        <v/>
      </c>
    </row>
    <row r="7">
      <c r="A7" s="5" t="inlineStr">
        <is>
          <t>Écart total</t>
        </is>
      </c>
      <c r="B7" s="7">
        <f>B5-B6</f>
        <v/>
      </c>
    </row>
    <row r="8">
      <c r="A8" s="5" t="inlineStr">
        <is>
          <t>% budget consommé</t>
        </is>
      </c>
      <c r="B8" s="6">
        <f>IF(B5=0,0,B6/B5)</f>
        <v/>
      </c>
    </row>
    <row r="9">
      <c r="A9" s="5" t="inlineStr">
        <is>
          <t>Avancement moyen</t>
        </is>
      </c>
      <c r="B9" s="6">
        <f>IFERROR(AVERAGE(Projets!F2:F51),0)</f>
        <v/>
      </c>
    </row>
    <row r="10">
      <c r="A10" s="5" t="inlineStr">
        <is>
          <t>Avancement pondéré par budget</t>
        </is>
      </c>
      <c r="B10" s="6">
        <f>IF(B5=0,0,SUMPRODUCT(Projets!F2:F51,Projets!G2:G51)/B5)</f>
        <v/>
      </c>
    </row>
    <row r="11">
      <c r="A11" s="5" t="inlineStr">
        <is>
          <t>Projets en dépassement</t>
        </is>
      </c>
      <c r="B11" s="10">
        <f>COUNTIF(Projets!K2:K51,"Dépassement")</f>
        <v/>
      </c>
    </row>
    <row r="12">
      <c r="A12" s="5" t="inlineStr">
        <is>
          <t>Météo Soleil</t>
        </is>
      </c>
      <c r="B12" s="10">
        <f>COUNTIF(Projets!E2:E51,"Soleil")</f>
        <v/>
      </c>
    </row>
    <row r="13">
      <c r="A13" s="5" t="inlineStr">
        <is>
          <t>Météo Nuage</t>
        </is>
      </c>
      <c r="B13" s="10">
        <f>COUNTIF(Projets!E2:E51,"Nuage")</f>
        <v/>
      </c>
    </row>
    <row r="14">
      <c r="A14" s="5" t="inlineStr">
        <is>
          <t>Météo Orage</t>
        </is>
      </c>
      <c r="B14" s="10">
        <f>COUNTIF(Projets!E2:E51,"Orage")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2026-10-29T21:15:32Z</dcterms:created>
  <dcterms:modified xmlns:dcterms="http://purl.org/dc/terms/" xmlns:xsi="http://www.w3.org/2001/XMLSchema-instance" xsi:type="dcterms:W3CDTF">2026-10-29T21:15:32Z</dcterms:modified>
</cp:coreProperties>
</file>