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isques" sheetId="2" state="visible" r:id="rId2"/>
    <sheet xmlns:r="http://schemas.openxmlformats.org/officeDocument/2006/relationships" name="Matrice" sheetId="3" state="visible" r:id="rId3"/>
    <sheet xmlns:r="http://schemas.openxmlformats.org/officeDocument/2006/relationships" name="Synthèse" sheetId="4" state="visible" r:id="rId4"/>
  </sheets>
  <definedNames>
    <definedName name="_xlnm._FilterDatabase" localSheetId="1" hidden="1">'Risques'!$A$1:$M$200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sz val="11"/>
    </font>
    <font>
      <name val="Calibri"/>
      <i val="1"/>
      <color rgb="002F6FED"/>
    </font>
    <font>
      <name val="Calibri"/>
      <b val="1"/>
      <color rgb="00FFFFFF"/>
    </font>
    <font>
      <name val="Calibri"/>
      <b val="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2" borderId="1" pivotButton="0" quotePrefix="0" xfId="0"/>
    <xf numFmtId="166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Registre des risques — mode d'emploi</t>
        </is>
      </c>
    </row>
    <row r="3">
      <c r="A3" s="2" t="inlineStr">
        <is>
          <t>1. Onglet « Risques » : une ligne par risque (jusqu'à la ligne 200). Les colonnes Catégorie, Probabilité, Impact et Statut ont des listes déroulantes.</t>
        </is>
      </c>
    </row>
    <row r="4">
      <c r="A4" s="2" t="inlineStr">
        <is>
          <t>2. Probabilité et Impact : 1 (très faible) à 5 (très fort). La criticité (P × I) est calculée automatiquement.</t>
        </is>
      </c>
    </row>
    <row r="5">
      <c r="A5" s="2" t="inlineStr">
        <is>
          <t>3. Couleurs de criticité : 1-4 vert (faible), 5-9 jaune (modéré), 10-14 orange (élevé), 15-25 rouge (critique).</t>
        </is>
      </c>
    </row>
    <row r="6">
      <c r="A6" s="2" t="inlineStr">
        <is>
          <t>4. Échéance : passe en rouge si dépassée et risque non clos.</t>
        </is>
      </c>
    </row>
    <row r="7">
      <c r="A7" s="2" t="inlineStr">
        <is>
          <t>5. Onglet « Matrice » : nombre de risques ouverts (statut ≠ Clos) par case Probabilité × Impact.</t>
        </is>
      </c>
    </row>
    <row r="8">
      <c r="A8" s="2" t="inlineStr">
        <is>
          <t>6. Onglet « Synthèse » : comptages par niveau, statut et catégorie. Ne modifiez pas les cellules de formule.</t>
        </is>
      </c>
    </row>
    <row r="10">
      <c r="A10" s="3" t="inlineStr">
        <is>
          <t>Données d'exemple anonymisées : remplacez-les par les vôtres.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26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34" customWidth="1" min="12" max="12"/>
    <col width="13" customWidth="1" min="13" max="13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Cause</t>
        </is>
      </c>
      <c r="D1" s="4" t="inlineStr">
        <is>
          <t>Conséquence</t>
        </is>
      </c>
      <c r="E1" s="4" t="inlineStr">
        <is>
          <t>Catégorie</t>
        </is>
      </c>
      <c r="F1" s="4" t="inlineStr">
        <is>
          <t>Propriétaire</t>
        </is>
      </c>
      <c r="G1" s="4" t="inlineStr">
        <is>
          <t>Probabilité (1-5)</t>
        </is>
      </c>
      <c r="H1" s="4" t="inlineStr">
        <is>
          <t>Impact (1-5)</t>
        </is>
      </c>
      <c r="I1" s="4" t="inlineStr">
        <is>
          <t>Criticité (P×I)</t>
        </is>
      </c>
      <c r="J1" s="4" t="inlineStr">
        <is>
          <t>Niveau</t>
        </is>
      </c>
      <c r="K1" s="4" t="inlineStr">
        <is>
          <t>Statut</t>
        </is>
      </c>
      <c r="L1" s="4" t="inlineStr">
        <is>
          <t>Plan d'action</t>
        </is>
      </c>
      <c r="M1" s="4" t="inlineStr">
        <is>
          <t>Échéance</t>
        </is>
      </c>
    </row>
    <row r="2">
      <c r="A2" s="5" t="inlineStr">
        <is>
          <t>R-001</t>
        </is>
      </c>
      <c r="B2" s="5" t="inlineStr">
        <is>
          <t>Retard de livraison d'un fournisseur clé</t>
        </is>
      </c>
      <c r="C2" s="5" t="inlineStr">
        <is>
          <t>Capacité fournisseur limitée</t>
        </is>
      </c>
      <c r="D2" s="5" t="inlineStr">
        <is>
          <t>Décalage du planning</t>
        </is>
      </c>
      <c r="E2" s="5" t="inlineStr">
        <is>
          <t>Fournisseur</t>
        </is>
      </c>
      <c r="F2" s="5" t="inlineStr">
        <is>
          <t>Personne A</t>
        </is>
      </c>
      <c r="G2" s="5" t="n">
        <v>3</v>
      </c>
      <c r="H2" s="5" t="n">
        <v>4</v>
      </c>
      <c r="I2" s="5">
        <f>IF(AND(ISNUMBER(G2),ISNUMBER(H2)),G2*H2,"")</f>
        <v/>
      </c>
      <c r="J2" s="5">
        <f>IF(I2="","",IF(I2&gt;=15,"Critique",IF(I2&gt;=10,"Élevé",IF(I2&gt;=5,"Modéré","Faible"))))</f>
        <v/>
      </c>
      <c r="K2" s="5" t="inlineStr">
        <is>
          <t>Ouvert</t>
        </is>
      </c>
      <c r="L2" s="5" t="inlineStr">
        <is>
          <t>Identifier un fournisseur de secours</t>
        </is>
      </c>
      <c r="M2" s="6" t="n">
        <v>46348</v>
      </c>
    </row>
    <row r="3">
      <c r="A3" s="5" t="inlineStr">
        <is>
          <t>R-002</t>
        </is>
      </c>
      <c r="B3" s="5" t="inlineStr">
        <is>
          <t>Départ d'un expert technique</t>
        </is>
      </c>
      <c r="C3" s="5" t="inlineStr">
        <is>
          <t>Marché tendu</t>
        </is>
      </c>
      <c r="D3" s="5" t="inlineStr">
        <is>
          <t>Perte de compétences</t>
        </is>
      </c>
      <c r="E3" s="5" t="inlineStr">
        <is>
          <t>Ressources</t>
        </is>
      </c>
      <c r="F3" s="5" t="inlineStr">
        <is>
          <t>Personne B</t>
        </is>
      </c>
      <c r="G3" s="5" t="n">
        <v>2</v>
      </c>
      <c r="H3" s="5" t="n">
        <v>5</v>
      </c>
      <c r="I3" s="5">
        <f>IF(AND(ISNUMBER(G3),ISNUMBER(H3)),G3*H3,"")</f>
        <v/>
      </c>
      <c r="J3" s="5">
        <f>IF(I3="","",IF(I3&gt;=15,"Critique",IF(I3&gt;=10,"Élevé",IF(I3&gt;=5,"Modéré","Faible"))))</f>
        <v/>
      </c>
      <c r="K3" s="5" t="inlineStr">
        <is>
          <t>En traitement</t>
        </is>
      </c>
      <c r="L3" s="5" t="inlineStr">
        <is>
          <t>Documenter et former un binôme</t>
        </is>
      </c>
      <c r="M3" s="6" t="n">
        <v>46373</v>
      </c>
    </row>
    <row r="4">
      <c r="A4" s="5" t="inlineStr">
        <is>
          <t>R-003</t>
        </is>
      </c>
      <c r="B4" s="5" t="inlineStr">
        <is>
          <t>Dépassement du budget matériel</t>
        </is>
      </c>
      <c r="C4" s="5" t="inlineStr">
        <is>
          <t>Hausse des prix</t>
        </is>
      </c>
      <c r="D4" s="5" t="inlineStr">
        <is>
          <t>Surcoût</t>
        </is>
      </c>
      <c r="E4" s="5" t="inlineStr">
        <is>
          <t>Financier</t>
        </is>
      </c>
      <c r="F4" s="5" t="inlineStr">
        <is>
          <t>Personne C</t>
        </is>
      </c>
      <c r="G4" s="5" t="n">
        <v>4</v>
      </c>
      <c r="H4" s="5" t="n">
        <v>3</v>
      </c>
      <c r="I4" s="5">
        <f>IF(AND(ISNUMBER(G4),ISNUMBER(H4)),G4*H4,"")</f>
        <v/>
      </c>
      <c r="J4" s="5">
        <f>IF(I4="","",IF(I4&gt;=15,"Critique",IF(I4&gt;=10,"Élevé",IF(I4&gt;=5,"Modéré","Faible"))))</f>
        <v/>
      </c>
      <c r="K4" s="5" t="inlineStr">
        <is>
          <t>Ouvert</t>
        </is>
      </c>
      <c r="L4" s="5" t="inlineStr">
        <is>
          <t>Négocier un prix ferme</t>
        </is>
      </c>
      <c r="M4" s="6" t="n">
        <v>46323</v>
      </c>
    </row>
    <row r="5">
      <c r="A5" s="5" t="inlineStr">
        <is>
          <t>R-004</t>
        </is>
      </c>
      <c r="B5" s="5" t="inlineStr">
        <is>
          <t>Exigences mal comprises</t>
        </is>
      </c>
      <c r="C5" s="5" t="inlineStr">
        <is>
          <t>Cahier des charges incomplet</t>
        </is>
      </c>
      <c r="D5" s="5" t="inlineStr">
        <is>
          <t>Reprises</t>
        </is>
      </c>
      <c r="E5" s="5" t="inlineStr">
        <is>
          <t>Technique</t>
        </is>
      </c>
      <c r="F5" s="5" t="inlineStr">
        <is>
          <t>Personne A</t>
        </is>
      </c>
      <c r="G5" s="5" t="n">
        <v>2</v>
      </c>
      <c r="H5" s="5" t="n">
        <v>2</v>
      </c>
      <c r="I5" s="5">
        <f>IF(AND(ISNUMBER(G5),ISNUMBER(H5)),G5*H5,"")</f>
        <v/>
      </c>
      <c r="J5" s="5">
        <f>IF(I5="","",IF(I5&gt;=15,"Critique",IF(I5&gt;=10,"Élevé",IF(I5&gt;=5,"Modéré","Faible"))))</f>
        <v/>
      </c>
      <c r="K5" s="5" t="inlineStr">
        <is>
          <t>Clos</t>
        </is>
      </c>
      <c r="L5" s="5" t="inlineStr">
        <is>
          <t>Atelier de validation</t>
        </is>
      </c>
      <c r="M5" s="6" t="n">
        <v>46298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>
        <f>IF(AND(ISNUMBER(G6),ISNUMBER(H6)),G6*H6,"")</f>
        <v/>
      </c>
      <c r="J6" s="5">
        <f>IF(I6="","",IF(I6&gt;=15,"Critique",IF(I6&gt;=10,"Élevé",IF(I6&gt;=5,"Modéré","Faible"))))</f>
        <v/>
      </c>
      <c r="K6" s="5" t="n"/>
      <c r="L6" s="5" t="n"/>
      <c r="M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>
        <f>IF(AND(ISNUMBER(G7),ISNUMBER(H7)),G7*H7,"")</f>
        <v/>
      </c>
      <c r="J7" s="5">
        <f>IF(I7="","",IF(I7&gt;=15,"Critique",IF(I7&gt;=10,"Élevé",IF(I7&gt;=5,"Modéré","Faible"))))</f>
        <v/>
      </c>
      <c r="K7" s="5" t="n"/>
      <c r="L7" s="5" t="n"/>
      <c r="M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>
        <f>IF(AND(ISNUMBER(G8),ISNUMBER(H8)),G8*H8,"")</f>
        <v/>
      </c>
      <c r="J8" s="5">
        <f>IF(I8="","",IF(I8&gt;=15,"Critique",IF(I8&gt;=10,"Élevé",IF(I8&gt;=5,"Modéré","Faible"))))</f>
        <v/>
      </c>
      <c r="K8" s="5" t="n"/>
      <c r="L8" s="5" t="n"/>
      <c r="M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>
        <f>IF(AND(ISNUMBER(G9),ISNUMBER(H9)),G9*H9,"")</f>
        <v/>
      </c>
      <c r="J9" s="5">
        <f>IF(I9="","",IF(I9&gt;=15,"Critique",IF(I9&gt;=10,"Élevé",IF(I9&gt;=5,"Modéré","Faible"))))</f>
        <v/>
      </c>
      <c r="K9" s="5" t="n"/>
      <c r="L9" s="5" t="n"/>
      <c r="M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>
        <f>IF(AND(ISNUMBER(G10),ISNUMBER(H10)),G10*H10,"")</f>
        <v/>
      </c>
      <c r="J10" s="5">
        <f>IF(I10="","",IF(I10&gt;=15,"Critique",IF(I10&gt;=10,"Élevé",IF(I10&gt;=5,"Modéré","Faible"))))</f>
        <v/>
      </c>
      <c r="K10" s="5" t="n"/>
      <c r="L10" s="5" t="n"/>
      <c r="M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>
        <f>IF(AND(ISNUMBER(G11),ISNUMBER(H11)),G11*H11,"")</f>
        <v/>
      </c>
      <c r="J11" s="5">
        <f>IF(I11="","",IF(I11&gt;=15,"Critique",IF(I11&gt;=10,"Élevé",IF(I11&gt;=5,"Modéré","Faible"))))</f>
        <v/>
      </c>
      <c r="K11" s="5" t="n"/>
      <c r="L11" s="5" t="n"/>
      <c r="M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>
        <f>IF(AND(ISNUMBER(G12),ISNUMBER(H12)),G12*H12,"")</f>
        <v/>
      </c>
      <c r="J12" s="5">
        <f>IF(I12="","",IF(I12&gt;=15,"Critique",IF(I12&gt;=10,"Élevé",IF(I12&gt;=5,"Modéré","Faible"))))</f>
        <v/>
      </c>
      <c r="K12" s="5" t="n"/>
      <c r="L12" s="5" t="n"/>
      <c r="M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>
        <f>IF(AND(ISNUMBER(G13),ISNUMBER(H13)),G13*H13,"")</f>
        <v/>
      </c>
      <c r="J13" s="5">
        <f>IF(I13="","",IF(I13&gt;=15,"Critique",IF(I13&gt;=10,"Élevé",IF(I13&gt;=5,"Modéré","Faible"))))</f>
        <v/>
      </c>
      <c r="K13" s="5" t="n"/>
      <c r="L13" s="5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>
        <f>IF(AND(ISNUMBER(G14),ISNUMBER(H14)),G14*H14,"")</f>
        <v/>
      </c>
      <c r="J14" s="5">
        <f>IF(I14="","",IF(I14&gt;=15,"Critique",IF(I14&gt;=10,"Élevé",IF(I14&gt;=5,"Modéré","Faible"))))</f>
        <v/>
      </c>
      <c r="K14" s="5" t="n"/>
      <c r="L14" s="5" t="n"/>
      <c r="M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>
        <f>IF(AND(ISNUMBER(G15),ISNUMBER(H15)),G15*H15,"")</f>
        <v/>
      </c>
      <c r="J15" s="5">
        <f>IF(I15="","",IF(I15&gt;=15,"Critique",IF(I15&gt;=10,"Élevé",IF(I15&gt;=5,"Modéré","Faible"))))</f>
        <v/>
      </c>
      <c r="K15" s="5" t="n"/>
      <c r="L15" s="5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>
        <f>IF(AND(ISNUMBER(G16),ISNUMBER(H16)),G16*H16,"")</f>
        <v/>
      </c>
      <c r="J16" s="5">
        <f>IF(I16="","",IF(I16&gt;=15,"Critique",IF(I16&gt;=10,"Élevé",IF(I16&gt;=5,"Modéré","Faible"))))</f>
        <v/>
      </c>
      <c r="K16" s="5" t="n"/>
      <c r="L16" s="5" t="n"/>
      <c r="M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>
        <f>IF(AND(ISNUMBER(G17),ISNUMBER(H17)),G17*H17,"")</f>
        <v/>
      </c>
      <c r="J17" s="5">
        <f>IF(I17="","",IF(I17&gt;=15,"Critique",IF(I17&gt;=10,"Élevé",IF(I17&gt;=5,"Modéré","Faible"))))</f>
        <v/>
      </c>
      <c r="K17" s="5" t="n"/>
      <c r="L17" s="5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>
        <f>IF(AND(ISNUMBER(G18),ISNUMBER(H18)),G18*H18,"")</f>
        <v/>
      </c>
      <c r="J18" s="5">
        <f>IF(I18="","",IF(I18&gt;=15,"Critique",IF(I18&gt;=10,"Élevé",IF(I18&gt;=5,"Modéré","Faible"))))</f>
        <v/>
      </c>
      <c r="K18" s="5" t="n"/>
      <c r="L18" s="5" t="n"/>
      <c r="M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>
        <f>IF(AND(ISNUMBER(G19),ISNUMBER(H19)),G19*H19,"")</f>
        <v/>
      </c>
      <c r="J19" s="5">
        <f>IF(I19="","",IF(I19&gt;=15,"Critique",IF(I19&gt;=10,"Élevé",IF(I19&gt;=5,"Modéré","Faible"))))</f>
        <v/>
      </c>
      <c r="K19" s="5" t="n"/>
      <c r="L19" s="5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>
        <f>IF(AND(ISNUMBER(G20),ISNUMBER(H20)),G20*H20,"")</f>
        <v/>
      </c>
      <c r="J20" s="5">
        <f>IF(I20="","",IF(I20&gt;=15,"Critique",IF(I20&gt;=10,"Élevé",IF(I20&gt;=5,"Modéré","Faible"))))</f>
        <v/>
      </c>
      <c r="K20" s="5" t="n"/>
      <c r="L20" s="5" t="n"/>
      <c r="M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>
        <f>IF(AND(ISNUMBER(G21),ISNUMBER(H21)),G21*H21,"")</f>
        <v/>
      </c>
      <c r="J21" s="5">
        <f>IF(I21="","",IF(I21&gt;=15,"Critique",IF(I21&gt;=10,"Élevé",IF(I21&gt;=5,"Modéré","Faible"))))</f>
        <v/>
      </c>
      <c r="K21" s="5" t="n"/>
      <c r="L21" s="5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>
        <f>IF(AND(ISNUMBER(G22),ISNUMBER(H22)),G22*H22,"")</f>
        <v/>
      </c>
      <c r="J22" s="5">
        <f>IF(I22="","",IF(I22&gt;=15,"Critique",IF(I22&gt;=10,"Élevé",IF(I22&gt;=5,"Modéré","Faible"))))</f>
        <v/>
      </c>
      <c r="K22" s="5" t="n"/>
      <c r="L22" s="5" t="n"/>
      <c r="M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>
        <f>IF(AND(ISNUMBER(G23),ISNUMBER(H23)),G23*H23,"")</f>
        <v/>
      </c>
      <c r="J23" s="5">
        <f>IF(I23="","",IF(I23&gt;=15,"Critique",IF(I23&gt;=10,"Élevé",IF(I23&gt;=5,"Modéré","Faible"))))</f>
        <v/>
      </c>
      <c r="K23" s="5" t="n"/>
      <c r="L23" s="5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>
        <f>IF(AND(ISNUMBER(G24),ISNUMBER(H24)),G24*H24,"")</f>
        <v/>
      </c>
      <c r="J24" s="5">
        <f>IF(I24="","",IF(I24&gt;=15,"Critique",IF(I24&gt;=10,"Élevé",IF(I24&gt;=5,"Modéré","Faible"))))</f>
        <v/>
      </c>
      <c r="K24" s="5" t="n"/>
      <c r="L24" s="5" t="n"/>
      <c r="M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>
        <f>IF(AND(ISNUMBER(G25),ISNUMBER(H25)),G25*H25,"")</f>
        <v/>
      </c>
      <c r="J25" s="5">
        <f>IF(I25="","",IF(I25&gt;=15,"Critique",IF(I25&gt;=10,"Élevé",IF(I25&gt;=5,"Modéré","Faible"))))</f>
        <v/>
      </c>
      <c r="K25" s="5" t="n"/>
      <c r="L25" s="5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>
        <f>IF(AND(ISNUMBER(G26),ISNUMBER(H26)),G26*H26,"")</f>
        <v/>
      </c>
      <c r="J26" s="5">
        <f>IF(I26="","",IF(I26&gt;=15,"Critique",IF(I26&gt;=10,"Élevé",IF(I26&gt;=5,"Modéré","Faible"))))</f>
        <v/>
      </c>
      <c r="K26" s="5" t="n"/>
      <c r="L26" s="5" t="n"/>
      <c r="M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>
        <f>IF(AND(ISNUMBER(G27),ISNUMBER(H27)),G27*H27,"")</f>
        <v/>
      </c>
      <c r="J27" s="5">
        <f>IF(I27="","",IF(I27&gt;=15,"Critique",IF(I27&gt;=10,"Élevé",IF(I27&gt;=5,"Modéré","Faible"))))</f>
        <v/>
      </c>
      <c r="K27" s="5" t="n"/>
      <c r="L27" s="5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>
        <f>IF(AND(ISNUMBER(G28),ISNUMBER(H28)),G28*H28,"")</f>
        <v/>
      </c>
      <c r="J28" s="5">
        <f>IF(I28="","",IF(I28&gt;=15,"Critique",IF(I28&gt;=10,"Élevé",IF(I28&gt;=5,"Modéré","Faible"))))</f>
        <v/>
      </c>
      <c r="K28" s="5" t="n"/>
      <c r="L28" s="5" t="n"/>
      <c r="M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>
        <f>IF(AND(ISNUMBER(G29),ISNUMBER(H29)),G29*H29,"")</f>
        <v/>
      </c>
      <c r="J29" s="5">
        <f>IF(I29="","",IF(I29&gt;=15,"Critique",IF(I29&gt;=10,"Élevé",IF(I29&gt;=5,"Modéré","Faible"))))</f>
        <v/>
      </c>
      <c r="K29" s="5" t="n"/>
      <c r="L29" s="5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>
        <f>IF(AND(ISNUMBER(G30),ISNUMBER(H30)),G30*H30,"")</f>
        <v/>
      </c>
      <c r="J30" s="5">
        <f>IF(I30="","",IF(I30&gt;=15,"Critique",IF(I30&gt;=10,"Élevé",IF(I30&gt;=5,"Modéré","Faible"))))</f>
        <v/>
      </c>
      <c r="K30" s="5" t="n"/>
      <c r="L30" s="5" t="n"/>
      <c r="M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>
        <f>IF(AND(ISNUMBER(G31),ISNUMBER(H31)),G31*H31,"")</f>
        <v/>
      </c>
      <c r="J31" s="5">
        <f>IF(I31="","",IF(I31&gt;=15,"Critique",IF(I31&gt;=10,"Élevé",IF(I31&gt;=5,"Modéré","Faible"))))</f>
        <v/>
      </c>
      <c r="K31" s="5" t="n"/>
      <c r="L31" s="5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>
        <f>IF(AND(ISNUMBER(G32),ISNUMBER(H32)),G32*H32,"")</f>
        <v/>
      </c>
      <c r="J32" s="5">
        <f>IF(I32="","",IF(I32&gt;=15,"Critique",IF(I32&gt;=10,"Élevé",IF(I32&gt;=5,"Modéré","Faible"))))</f>
        <v/>
      </c>
      <c r="K32" s="5" t="n"/>
      <c r="L32" s="5" t="n"/>
      <c r="M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>
        <f>IF(AND(ISNUMBER(G33),ISNUMBER(H33)),G33*H33,"")</f>
        <v/>
      </c>
      <c r="J33" s="5">
        <f>IF(I33="","",IF(I33&gt;=15,"Critique",IF(I33&gt;=10,"Élevé",IF(I33&gt;=5,"Modéré","Faible"))))</f>
        <v/>
      </c>
      <c r="K33" s="5" t="n"/>
      <c r="L33" s="5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>
        <f>IF(AND(ISNUMBER(G34),ISNUMBER(H34)),G34*H34,"")</f>
        <v/>
      </c>
      <c r="J34" s="5">
        <f>IF(I34="","",IF(I34&gt;=15,"Critique",IF(I34&gt;=10,"Élevé",IF(I34&gt;=5,"Modéré","Faible"))))</f>
        <v/>
      </c>
      <c r="K34" s="5" t="n"/>
      <c r="L34" s="5" t="n"/>
      <c r="M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>
        <f>IF(AND(ISNUMBER(G35),ISNUMBER(H35)),G35*H35,"")</f>
        <v/>
      </c>
      <c r="J35" s="5">
        <f>IF(I35="","",IF(I35&gt;=15,"Critique",IF(I35&gt;=10,"Élevé",IF(I35&gt;=5,"Modéré","Faible"))))</f>
        <v/>
      </c>
      <c r="K35" s="5" t="n"/>
      <c r="L35" s="5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>
        <f>IF(AND(ISNUMBER(G36),ISNUMBER(H36)),G36*H36,"")</f>
        <v/>
      </c>
      <c r="J36" s="5">
        <f>IF(I36="","",IF(I36&gt;=15,"Critique",IF(I36&gt;=10,"Élevé",IF(I36&gt;=5,"Modéré","Faible"))))</f>
        <v/>
      </c>
      <c r="K36" s="5" t="n"/>
      <c r="L36" s="5" t="n"/>
      <c r="M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>
        <f>IF(AND(ISNUMBER(G37),ISNUMBER(H37)),G37*H37,"")</f>
        <v/>
      </c>
      <c r="J37" s="5">
        <f>IF(I37="","",IF(I37&gt;=15,"Critique",IF(I37&gt;=10,"Élevé",IF(I37&gt;=5,"Modéré","Faible"))))</f>
        <v/>
      </c>
      <c r="K37" s="5" t="n"/>
      <c r="L37" s="5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>
        <f>IF(AND(ISNUMBER(G38),ISNUMBER(H38)),G38*H38,"")</f>
        <v/>
      </c>
      <c r="J38" s="5">
        <f>IF(I38="","",IF(I38&gt;=15,"Critique",IF(I38&gt;=10,"Élevé",IF(I38&gt;=5,"Modéré","Faible"))))</f>
        <v/>
      </c>
      <c r="K38" s="5" t="n"/>
      <c r="L38" s="5" t="n"/>
      <c r="M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>
        <f>IF(AND(ISNUMBER(G39),ISNUMBER(H39)),G39*H39,"")</f>
        <v/>
      </c>
      <c r="J39" s="5">
        <f>IF(I39="","",IF(I39&gt;=15,"Critique",IF(I39&gt;=10,"Élevé",IF(I39&gt;=5,"Modéré","Faible"))))</f>
        <v/>
      </c>
      <c r="K39" s="5" t="n"/>
      <c r="L39" s="5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>
        <f>IF(AND(ISNUMBER(G40),ISNUMBER(H40)),G40*H40,"")</f>
        <v/>
      </c>
      <c r="J40" s="5">
        <f>IF(I40="","",IF(I40&gt;=15,"Critique",IF(I40&gt;=10,"Élevé",IF(I40&gt;=5,"Modéré","Faible"))))</f>
        <v/>
      </c>
      <c r="K40" s="5" t="n"/>
      <c r="L40" s="5" t="n"/>
      <c r="M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>
        <f>IF(AND(ISNUMBER(G41),ISNUMBER(H41)),G41*H41,"")</f>
        <v/>
      </c>
      <c r="J41" s="5">
        <f>IF(I41="","",IF(I41&gt;=15,"Critique",IF(I41&gt;=10,"Élevé",IF(I41&gt;=5,"Modéré","Faible"))))</f>
        <v/>
      </c>
      <c r="K41" s="5" t="n"/>
      <c r="L41" s="5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>
        <f>IF(AND(ISNUMBER(G42),ISNUMBER(H42)),G42*H42,"")</f>
        <v/>
      </c>
      <c r="J42" s="5">
        <f>IF(I42="","",IF(I42&gt;=15,"Critique",IF(I42&gt;=10,"Élevé",IF(I42&gt;=5,"Modéré","Faible"))))</f>
        <v/>
      </c>
      <c r="K42" s="5" t="n"/>
      <c r="L42" s="5" t="n"/>
      <c r="M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>
        <f>IF(AND(ISNUMBER(G43),ISNUMBER(H43)),G43*H43,"")</f>
        <v/>
      </c>
      <c r="J43" s="5">
        <f>IF(I43="","",IF(I43&gt;=15,"Critique",IF(I43&gt;=10,"Élevé",IF(I43&gt;=5,"Modéré","Faible"))))</f>
        <v/>
      </c>
      <c r="K43" s="5" t="n"/>
      <c r="L43" s="5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>
        <f>IF(AND(ISNUMBER(G44),ISNUMBER(H44)),G44*H44,"")</f>
        <v/>
      </c>
      <c r="J44" s="5">
        <f>IF(I44="","",IF(I44&gt;=15,"Critique",IF(I44&gt;=10,"Élevé",IF(I44&gt;=5,"Modéré","Faible"))))</f>
        <v/>
      </c>
      <c r="K44" s="5" t="n"/>
      <c r="L44" s="5" t="n"/>
      <c r="M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>
        <f>IF(AND(ISNUMBER(G45),ISNUMBER(H45)),G45*H45,"")</f>
        <v/>
      </c>
      <c r="J45" s="5">
        <f>IF(I45="","",IF(I45&gt;=15,"Critique",IF(I45&gt;=10,"Élevé",IF(I45&gt;=5,"Modéré","Faible"))))</f>
        <v/>
      </c>
      <c r="K45" s="5" t="n"/>
      <c r="L45" s="5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>
        <f>IF(AND(ISNUMBER(G46),ISNUMBER(H46)),G46*H46,"")</f>
        <v/>
      </c>
      <c r="J46" s="5">
        <f>IF(I46="","",IF(I46&gt;=15,"Critique",IF(I46&gt;=10,"Élevé",IF(I46&gt;=5,"Modéré","Faible"))))</f>
        <v/>
      </c>
      <c r="K46" s="5" t="n"/>
      <c r="L46" s="5" t="n"/>
      <c r="M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>
        <f>IF(AND(ISNUMBER(G47),ISNUMBER(H47)),G47*H47,"")</f>
        <v/>
      </c>
      <c r="J47" s="5">
        <f>IF(I47="","",IF(I47&gt;=15,"Critique",IF(I47&gt;=10,"Élevé",IF(I47&gt;=5,"Modéré","Faible"))))</f>
        <v/>
      </c>
      <c r="K47" s="5" t="n"/>
      <c r="L47" s="5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>
        <f>IF(AND(ISNUMBER(G48),ISNUMBER(H48)),G48*H48,"")</f>
        <v/>
      </c>
      <c r="J48" s="5">
        <f>IF(I48="","",IF(I48&gt;=15,"Critique",IF(I48&gt;=10,"Élevé",IF(I48&gt;=5,"Modéré","Faible"))))</f>
        <v/>
      </c>
      <c r="K48" s="5" t="n"/>
      <c r="L48" s="5" t="n"/>
      <c r="M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>
        <f>IF(AND(ISNUMBER(G49),ISNUMBER(H49)),G49*H49,"")</f>
        <v/>
      </c>
      <c r="J49" s="5">
        <f>IF(I49="","",IF(I49&gt;=15,"Critique",IF(I49&gt;=10,"Élevé",IF(I49&gt;=5,"Modéré","Faible"))))</f>
        <v/>
      </c>
      <c r="K49" s="5" t="n"/>
      <c r="L49" s="5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>
        <f>IF(AND(ISNUMBER(G50),ISNUMBER(H50)),G50*H50,"")</f>
        <v/>
      </c>
      <c r="J50" s="5">
        <f>IF(I50="","",IF(I50&gt;=15,"Critique",IF(I50&gt;=10,"Élevé",IF(I50&gt;=5,"Modéré","Faible"))))</f>
        <v/>
      </c>
      <c r="K50" s="5" t="n"/>
      <c r="L50" s="5" t="n"/>
      <c r="M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>
        <f>IF(AND(ISNUMBER(G51),ISNUMBER(H51)),G51*H51,"")</f>
        <v/>
      </c>
      <c r="J51" s="5">
        <f>IF(I51="","",IF(I51&gt;=15,"Critique",IF(I51&gt;=10,"Élevé",IF(I51&gt;=5,"Modéré","Faible"))))</f>
        <v/>
      </c>
      <c r="K51" s="5" t="n"/>
      <c r="L51" s="5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>
        <f>IF(AND(ISNUMBER(G52),ISNUMBER(H52)),G52*H52,"")</f>
        <v/>
      </c>
      <c r="J52" s="5">
        <f>IF(I52="","",IF(I52&gt;=15,"Critique",IF(I52&gt;=10,"Élevé",IF(I52&gt;=5,"Modéré","Faible"))))</f>
        <v/>
      </c>
      <c r="K52" s="5" t="n"/>
      <c r="L52" s="5" t="n"/>
      <c r="M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>
        <f>IF(AND(ISNUMBER(G53),ISNUMBER(H53)),G53*H53,"")</f>
        <v/>
      </c>
      <c r="J53" s="5">
        <f>IF(I53="","",IF(I53&gt;=15,"Critique",IF(I53&gt;=10,"Élevé",IF(I53&gt;=5,"Modéré","Faible"))))</f>
        <v/>
      </c>
      <c r="K53" s="5" t="n"/>
      <c r="L53" s="5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>
        <f>IF(AND(ISNUMBER(G54),ISNUMBER(H54)),G54*H54,"")</f>
        <v/>
      </c>
      <c r="J54" s="5">
        <f>IF(I54="","",IF(I54&gt;=15,"Critique",IF(I54&gt;=10,"Élevé",IF(I54&gt;=5,"Modéré","Faible"))))</f>
        <v/>
      </c>
      <c r="K54" s="5" t="n"/>
      <c r="L54" s="5" t="n"/>
      <c r="M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>
        <f>IF(AND(ISNUMBER(G55),ISNUMBER(H55)),G55*H55,"")</f>
        <v/>
      </c>
      <c r="J55" s="5">
        <f>IF(I55="","",IF(I55&gt;=15,"Critique",IF(I55&gt;=10,"Élevé",IF(I55&gt;=5,"Modéré","Faible"))))</f>
        <v/>
      </c>
      <c r="K55" s="5" t="n"/>
      <c r="L55" s="5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>
        <f>IF(AND(ISNUMBER(G56),ISNUMBER(H56)),G56*H56,"")</f>
        <v/>
      </c>
      <c r="J56" s="5">
        <f>IF(I56="","",IF(I56&gt;=15,"Critique",IF(I56&gt;=10,"Élevé",IF(I56&gt;=5,"Modéré","Faible"))))</f>
        <v/>
      </c>
      <c r="K56" s="5" t="n"/>
      <c r="L56" s="5" t="n"/>
      <c r="M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>
        <f>IF(AND(ISNUMBER(G57),ISNUMBER(H57)),G57*H57,"")</f>
        <v/>
      </c>
      <c r="J57" s="5">
        <f>IF(I57="","",IF(I57&gt;=15,"Critique",IF(I57&gt;=10,"Élevé",IF(I57&gt;=5,"Modéré","Faible"))))</f>
        <v/>
      </c>
      <c r="K57" s="5" t="n"/>
      <c r="L57" s="5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>
        <f>IF(AND(ISNUMBER(G58),ISNUMBER(H58)),G58*H58,"")</f>
        <v/>
      </c>
      <c r="J58" s="5">
        <f>IF(I58="","",IF(I58&gt;=15,"Critique",IF(I58&gt;=10,"Élevé",IF(I58&gt;=5,"Modéré","Faible"))))</f>
        <v/>
      </c>
      <c r="K58" s="5" t="n"/>
      <c r="L58" s="5" t="n"/>
      <c r="M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>
        <f>IF(AND(ISNUMBER(G59),ISNUMBER(H59)),G59*H59,"")</f>
        <v/>
      </c>
      <c r="J59" s="5">
        <f>IF(I59="","",IF(I59&gt;=15,"Critique",IF(I59&gt;=10,"Élevé",IF(I59&gt;=5,"Modéré","Faible"))))</f>
        <v/>
      </c>
      <c r="K59" s="5" t="n"/>
      <c r="L59" s="5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>
        <f>IF(AND(ISNUMBER(G60),ISNUMBER(H60)),G60*H60,"")</f>
        <v/>
      </c>
      <c r="J60" s="5">
        <f>IF(I60="","",IF(I60&gt;=15,"Critique",IF(I60&gt;=10,"Élevé",IF(I60&gt;=5,"Modéré","Faible"))))</f>
        <v/>
      </c>
      <c r="K60" s="5" t="n"/>
      <c r="L60" s="5" t="n"/>
      <c r="M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>
        <f>IF(AND(ISNUMBER(G61),ISNUMBER(H61)),G61*H61,"")</f>
        <v/>
      </c>
      <c r="J61" s="5">
        <f>IF(I61="","",IF(I61&gt;=15,"Critique",IF(I61&gt;=10,"Élevé",IF(I61&gt;=5,"Modéré","Faible"))))</f>
        <v/>
      </c>
      <c r="K61" s="5" t="n"/>
      <c r="L61" s="5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>
        <f>IF(AND(ISNUMBER(G62),ISNUMBER(H62)),G62*H62,"")</f>
        <v/>
      </c>
      <c r="J62" s="5">
        <f>IF(I62="","",IF(I62&gt;=15,"Critique",IF(I62&gt;=10,"Élevé",IF(I62&gt;=5,"Modéré","Faible"))))</f>
        <v/>
      </c>
      <c r="K62" s="5" t="n"/>
      <c r="L62" s="5" t="n"/>
      <c r="M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>
        <f>IF(AND(ISNUMBER(G63),ISNUMBER(H63)),G63*H63,"")</f>
        <v/>
      </c>
      <c r="J63" s="5">
        <f>IF(I63="","",IF(I63&gt;=15,"Critique",IF(I63&gt;=10,"Élevé",IF(I63&gt;=5,"Modéré","Faible"))))</f>
        <v/>
      </c>
      <c r="K63" s="5" t="n"/>
      <c r="L63" s="5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>
        <f>IF(AND(ISNUMBER(G64),ISNUMBER(H64)),G64*H64,"")</f>
        <v/>
      </c>
      <c r="J64" s="5">
        <f>IF(I64="","",IF(I64&gt;=15,"Critique",IF(I64&gt;=10,"Élevé",IF(I64&gt;=5,"Modéré","Faible"))))</f>
        <v/>
      </c>
      <c r="K64" s="5" t="n"/>
      <c r="L64" s="5" t="n"/>
      <c r="M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>
        <f>IF(AND(ISNUMBER(G65),ISNUMBER(H65)),G65*H65,"")</f>
        <v/>
      </c>
      <c r="J65" s="5">
        <f>IF(I65="","",IF(I65&gt;=15,"Critique",IF(I65&gt;=10,"Élevé",IF(I65&gt;=5,"Modéré","Faible"))))</f>
        <v/>
      </c>
      <c r="K65" s="5" t="n"/>
      <c r="L65" s="5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>
        <f>IF(AND(ISNUMBER(G66),ISNUMBER(H66)),G66*H66,"")</f>
        <v/>
      </c>
      <c r="J66" s="5">
        <f>IF(I66="","",IF(I66&gt;=15,"Critique",IF(I66&gt;=10,"Élevé",IF(I66&gt;=5,"Modéré","Faible"))))</f>
        <v/>
      </c>
      <c r="K66" s="5" t="n"/>
      <c r="L66" s="5" t="n"/>
      <c r="M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>
        <f>IF(AND(ISNUMBER(G67),ISNUMBER(H67)),G67*H67,"")</f>
        <v/>
      </c>
      <c r="J67" s="5">
        <f>IF(I67="","",IF(I67&gt;=15,"Critique",IF(I67&gt;=10,"Élevé",IF(I67&gt;=5,"Modéré","Faible"))))</f>
        <v/>
      </c>
      <c r="K67" s="5" t="n"/>
      <c r="L67" s="5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>
        <f>IF(AND(ISNUMBER(G68),ISNUMBER(H68)),G68*H68,"")</f>
        <v/>
      </c>
      <c r="J68" s="5">
        <f>IF(I68="","",IF(I68&gt;=15,"Critique",IF(I68&gt;=10,"Élevé",IF(I68&gt;=5,"Modéré","Faible"))))</f>
        <v/>
      </c>
      <c r="K68" s="5" t="n"/>
      <c r="L68" s="5" t="n"/>
      <c r="M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>
        <f>IF(AND(ISNUMBER(G69),ISNUMBER(H69)),G69*H69,"")</f>
        <v/>
      </c>
      <c r="J69" s="5">
        <f>IF(I69="","",IF(I69&gt;=15,"Critique",IF(I69&gt;=10,"Élevé",IF(I69&gt;=5,"Modéré","Faible"))))</f>
        <v/>
      </c>
      <c r="K69" s="5" t="n"/>
      <c r="L69" s="5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>
        <f>IF(AND(ISNUMBER(G70),ISNUMBER(H70)),G70*H70,"")</f>
        <v/>
      </c>
      <c r="J70" s="5">
        <f>IF(I70="","",IF(I70&gt;=15,"Critique",IF(I70&gt;=10,"Élevé",IF(I70&gt;=5,"Modéré","Faible"))))</f>
        <v/>
      </c>
      <c r="K70" s="5" t="n"/>
      <c r="L70" s="5" t="n"/>
      <c r="M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>
        <f>IF(AND(ISNUMBER(G71),ISNUMBER(H71)),G71*H71,"")</f>
        <v/>
      </c>
      <c r="J71" s="5">
        <f>IF(I71="","",IF(I71&gt;=15,"Critique",IF(I71&gt;=10,"Élevé",IF(I71&gt;=5,"Modéré","Faible"))))</f>
        <v/>
      </c>
      <c r="K71" s="5" t="n"/>
      <c r="L71" s="5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>
        <f>IF(AND(ISNUMBER(G72),ISNUMBER(H72)),G72*H72,"")</f>
        <v/>
      </c>
      <c r="J72" s="5">
        <f>IF(I72="","",IF(I72&gt;=15,"Critique",IF(I72&gt;=10,"Élevé",IF(I72&gt;=5,"Modéré","Faible"))))</f>
        <v/>
      </c>
      <c r="K72" s="5" t="n"/>
      <c r="L72" s="5" t="n"/>
      <c r="M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>
        <f>IF(AND(ISNUMBER(G73),ISNUMBER(H73)),G73*H73,"")</f>
        <v/>
      </c>
      <c r="J73" s="5">
        <f>IF(I73="","",IF(I73&gt;=15,"Critique",IF(I73&gt;=10,"Élevé",IF(I73&gt;=5,"Modéré","Faible"))))</f>
        <v/>
      </c>
      <c r="K73" s="5" t="n"/>
      <c r="L73" s="5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>
        <f>IF(AND(ISNUMBER(G74),ISNUMBER(H74)),G74*H74,"")</f>
        <v/>
      </c>
      <c r="J74" s="5">
        <f>IF(I74="","",IF(I74&gt;=15,"Critique",IF(I74&gt;=10,"Élevé",IF(I74&gt;=5,"Modéré","Faible"))))</f>
        <v/>
      </c>
      <c r="K74" s="5" t="n"/>
      <c r="L74" s="5" t="n"/>
      <c r="M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>
        <f>IF(AND(ISNUMBER(G75),ISNUMBER(H75)),G75*H75,"")</f>
        <v/>
      </c>
      <c r="J75" s="5">
        <f>IF(I75="","",IF(I75&gt;=15,"Critique",IF(I75&gt;=10,"Élevé",IF(I75&gt;=5,"Modéré","Faible"))))</f>
        <v/>
      </c>
      <c r="K75" s="5" t="n"/>
      <c r="L75" s="5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>
        <f>IF(AND(ISNUMBER(G76),ISNUMBER(H76)),G76*H76,"")</f>
        <v/>
      </c>
      <c r="J76" s="5">
        <f>IF(I76="","",IF(I76&gt;=15,"Critique",IF(I76&gt;=10,"Élevé",IF(I76&gt;=5,"Modéré","Faible"))))</f>
        <v/>
      </c>
      <c r="K76" s="5" t="n"/>
      <c r="L76" s="5" t="n"/>
      <c r="M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>
        <f>IF(AND(ISNUMBER(G77),ISNUMBER(H77)),G77*H77,"")</f>
        <v/>
      </c>
      <c r="J77" s="5">
        <f>IF(I77="","",IF(I77&gt;=15,"Critique",IF(I77&gt;=10,"Élevé",IF(I77&gt;=5,"Modéré","Faible"))))</f>
        <v/>
      </c>
      <c r="K77" s="5" t="n"/>
      <c r="L77" s="5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>
        <f>IF(AND(ISNUMBER(G78),ISNUMBER(H78)),G78*H78,"")</f>
        <v/>
      </c>
      <c r="J78" s="5">
        <f>IF(I78="","",IF(I78&gt;=15,"Critique",IF(I78&gt;=10,"Élevé",IF(I78&gt;=5,"Modéré","Faible"))))</f>
        <v/>
      </c>
      <c r="K78" s="5" t="n"/>
      <c r="L78" s="5" t="n"/>
      <c r="M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>
        <f>IF(AND(ISNUMBER(G79),ISNUMBER(H79)),G79*H79,"")</f>
        <v/>
      </c>
      <c r="J79" s="5">
        <f>IF(I79="","",IF(I79&gt;=15,"Critique",IF(I79&gt;=10,"Élevé",IF(I79&gt;=5,"Modéré","Faible"))))</f>
        <v/>
      </c>
      <c r="K79" s="5" t="n"/>
      <c r="L79" s="5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>
        <f>IF(AND(ISNUMBER(G80),ISNUMBER(H80)),G80*H80,"")</f>
        <v/>
      </c>
      <c r="J80" s="5">
        <f>IF(I80="","",IF(I80&gt;=15,"Critique",IF(I80&gt;=10,"Élevé",IF(I80&gt;=5,"Modéré","Faible"))))</f>
        <v/>
      </c>
      <c r="K80" s="5" t="n"/>
      <c r="L80" s="5" t="n"/>
      <c r="M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>
        <f>IF(AND(ISNUMBER(G81),ISNUMBER(H81)),G81*H81,"")</f>
        <v/>
      </c>
      <c r="J81" s="5">
        <f>IF(I81="","",IF(I81&gt;=15,"Critique",IF(I81&gt;=10,"Élevé",IF(I81&gt;=5,"Modéré","Faible"))))</f>
        <v/>
      </c>
      <c r="K81" s="5" t="n"/>
      <c r="L81" s="5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>
        <f>IF(AND(ISNUMBER(G82),ISNUMBER(H82)),G82*H82,"")</f>
        <v/>
      </c>
      <c r="J82" s="5">
        <f>IF(I82="","",IF(I82&gt;=15,"Critique",IF(I82&gt;=10,"Élevé",IF(I82&gt;=5,"Modéré","Faible"))))</f>
        <v/>
      </c>
      <c r="K82" s="5" t="n"/>
      <c r="L82" s="5" t="n"/>
      <c r="M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>
        <f>IF(AND(ISNUMBER(G83),ISNUMBER(H83)),G83*H83,"")</f>
        <v/>
      </c>
      <c r="J83" s="5">
        <f>IF(I83="","",IF(I83&gt;=15,"Critique",IF(I83&gt;=10,"Élevé",IF(I83&gt;=5,"Modéré","Faible"))))</f>
        <v/>
      </c>
      <c r="K83" s="5" t="n"/>
      <c r="L83" s="5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>
        <f>IF(AND(ISNUMBER(G84),ISNUMBER(H84)),G84*H84,"")</f>
        <v/>
      </c>
      <c r="J84" s="5">
        <f>IF(I84="","",IF(I84&gt;=15,"Critique",IF(I84&gt;=10,"Élevé",IF(I84&gt;=5,"Modéré","Faible"))))</f>
        <v/>
      </c>
      <c r="K84" s="5" t="n"/>
      <c r="L84" s="5" t="n"/>
      <c r="M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>
        <f>IF(AND(ISNUMBER(G85),ISNUMBER(H85)),G85*H85,"")</f>
        <v/>
      </c>
      <c r="J85" s="5">
        <f>IF(I85="","",IF(I85&gt;=15,"Critique",IF(I85&gt;=10,"Élevé",IF(I85&gt;=5,"Modéré","Faible"))))</f>
        <v/>
      </c>
      <c r="K85" s="5" t="n"/>
      <c r="L85" s="5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>
        <f>IF(AND(ISNUMBER(G86),ISNUMBER(H86)),G86*H86,"")</f>
        <v/>
      </c>
      <c r="J86" s="5">
        <f>IF(I86="","",IF(I86&gt;=15,"Critique",IF(I86&gt;=10,"Élevé",IF(I86&gt;=5,"Modéré","Faible"))))</f>
        <v/>
      </c>
      <c r="K86" s="5" t="n"/>
      <c r="L86" s="5" t="n"/>
      <c r="M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>
        <f>IF(AND(ISNUMBER(G87),ISNUMBER(H87)),G87*H87,"")</f>
        <v/>
      </c>
      <c r="J87" s="5">
        <f>IF(I87="","",IF(I87&gt;=15,"Critique",IF(I87&gt;=10,"Élevé",IF(I87&gt;=5,"Modéré","Faible"))))</f>
        <v/>
      </c>
      <c r="K87" s="5" t="n"/>
      <c r="L87" s="5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>
        <f>IF(AND(ISNUMBER(G88),ISNUMBER(H88)),G88*H88,"")</f>
        <v/>
      </c>
      <c r="J88" s="5">
        <f>IF(I88="","",IF(I88&gt;=15,"Critique",IF(I88&gt;=10,"Élevé",IF(I88&gt;=5,"Modéré","Faible"))))</f>
        <v/>
      </c>
      <c r="K88" s="5" t="n"/>
      <c r="L88" s="5" t="n"/>
      <c r="M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>
        <f>IF(AND(ISNUMBER(G89),ISNUMBER(H89)),G89*H89,"")</f>
        <v/>
      </c>
      <c r="J89" s="5">
        <f>IF(I89="","",IF(I89&gt;=15,"Critique",IF(I89&gt;=10,"Élevé",IF(I89&gt;=5,"Modéré","Faible"))))</f>
        <v/>
      </c>
      <c r="K89" s="5" t="n"/>
      <c r="L89" s="5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>
        <f>IF(AND(ISNUMBER(G90),ISNUMBER(H90)),G90*H90,"")</f>
        <v/>
      </c>
      <c r="J90" s="5">
        <f>IF(I90="","",IF(I90&gt;=15,"Critique",IF(I90&gt;=10,"Élevé",IF(I90&gt;=5,"Modéré","Faible"))))</f>
        <v/>
      </c>
      <c r="K90" s="5" t="n"/>
      <c r="L90" s="5" t="n"/>
      <c r="M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>
        <f>IF(AND(ISNUMBER(G91),ISNUMBER(H91)),G91*H91,"")</f>
        <v/>
      </c>
      <c r="J91" s="5">
        <f>IF(I91="","",IF(I91&gt;=15,"Critique",IF(I91&gt;=10,"Élevé",IF(I91&gt;=5,"Modéré","Faible"))))</f>
        <v/>
      </c>
      <c r="K91" s="5" t="n"/>
      <c r="L91" s="5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>
        <f>IF(AND(ISNUMBER(G92),ISNUMBER(H92)),G92*H92,"")</f>
        <v/>
      </c>
      <c r="J92" s="5">
        <f>IF(I92="","",IF(I92&gt;=15,"Critique",IF(I92&gt;=10,"Élevé",IF(I92&gt;=5,"Modéré","Faible"))))</f>
        <v/>
      </c>
      <c r="K92" s="5" t="n"/>
      <c r="L92" s="5" t="n"/>
      <c r="M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>
        <f>IF(AND(ISNUMBER(G93),ISNUMBER(H93)),G93*H93,"")</f>
        <v/>
      </c>
      <c r="J93" s="5">
        <f>IF(I93="","",IF(I93&gt;=15,"Critique",IF(I93&gt;=10,"Élevé",IF(I93&gt;=5,"Modéré","Faible"))))</f>
        <v/>
      </c>
      <c r="K93" s="5" t="n"/>
      <c r="L93" s="5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>
        <f>IF(AND(ISNUMBER(G94),ISNUMBER(H94)),G94*H94,"")</f>
        <v/>
      </c>
      <c r="J94" s="5">
        <f>IF(I94="","",IF(I94&gt;=15,"Critique",IF(I94&gt;=10,"Élevé",IF(I94&gt;=5,"Modéré","Faible"))))</f>
        <v/>
      </c>
      <c r="K94" s="5" t="n"/>
      <c r="L94" s="5" t="n"/>
      <c r="M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>
        <f>IF(AND(ISNUMBER(G95),ISNUMBER(H95)),G95*H95,"")</f>
        <v/>
      </c>
      <c r="J95" s="5">
        <f>IF(I95="","",IF(I95&gt;=15,"Critique",IF(I95&gt;=10,"Élevé",IF(I95&gt;=5,"Modéré","Faible"))))</f>
        <v/>
      </c>
      <c r="K95" s="5" t="n"/>
      <c r="L95" s="5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>
        <f>IF(AND(ISNUMBER(G96),ISNUMBER(H96)),G96*H96,"")</f>
        <v/>
      </c>
      <c r="J96" s="5">
        <f>IF(I96="","",IF(I96&gt;=15,"Critique",IF(I96&gt;=10,"Élevé",IF(I96&gt;=5,"Modéré","Faible"))))</f>
        <v/>
      </c>
      <c r="K96" s="5" t="n"/>
      <c r="L96" s="5" t="n"/>
      <c r="M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>
        <f>IF(AND(ISNUMBER(G97),ISNUMBER(H97)),G97*H97,"")</f>
        <v/>
      </c>
      <c r="J97" s="5">
        <f>IF(I97="","",IF(I97&gt;=15,"Critique",IF(I97&gt;=10,"Élevé",IF(I97&gt;=5,"Modéré","Faible"))))</f>
        <v/>
      </c>
      <c r="K97" s="5" t="n"/>
      <c r="L97" s="5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>
        <f>IF(AND(ISNUMBER(G98),ISNUMBER(H98)),G98*H98,"")</f>
        <v/>
      </c>
      <c r="J98" s="5">
        <f>IF(I98="","",IF(I98&gt;=15,"Critique",IF(I98&gt;=10,"Élevé",IF(I98&gt;=5,"Modéré","Faible"))))</f>
        <v/>
      </c>
      <c r="K98" s="5" t="n"/>
      <c r="L98" s="5" t="n"/>
      <c r="M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>
        <f>IF(AND(ISNUMBER(G99),ISNUMBER(H99)),G99*H99,"")</f>
        <v/>
      </c>
      <c r="J99" s="5">
        <f>IF(I99="","",IF(I99&gt;=15,"Critique",IF(I99&gt;=10,"Élevé",IF(I99&gt;=5,"Modéré","Faible"))))</f>
        <v/>
      </c>
      <c r="K99" s="5" t="n"/>
      <c r="L99" s="5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>
        <f>IF(AND(ISNUMBER(G100),ISNUMBER(H100)),G100*H100,"")</f>
        <v/>
      </c>
      <c r="J100" s="5">
        <f>IF(I100="","",IF(I100&gt;=15,"Critique",IF(I100&gt;=10,"Élevé",IF(I100&gt;=5,"Modéré","Faible"))))</f>
        <v/>
      </c>
      <c r="K100" s="5" t="n"/>
      <c r="L100" s="5" t="n"/>
      <c r="M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>
        <f>IF(AND(ISNUMBER(G101),ISNUMBER(H101)),G101*H101,"")</f>
        <v/>
      </c>
      <c r="J101" s="5">
        <f>IF(I101="","",IF(I101&gt;=15,"Critique",IF(I101&gt;=10,"Élevé",IF(I101&gt;=5,"Modéré","Faible"))))</f>
        <v/>
      </c>
      <c r="K101" s="5" t="n"/>
      <c r="L101" s="5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>
        <f>IF(AND(ISNUMBER(G102),ISNUMBER(H102)),G102*H102,"")</f>
        <v/>
      </c>
      <c r="J102" s="5">
        <f>IF(I102="","",IF(I102&gt;=15,"Critique",IF(I102&gt;=10,"Élevé",IF(I102&gt;=5,"Modéré","Faible"))))</f>
        <v/>
      </c>
      <c r="K102" s="5" t="n"/>
      <c r="L102" s="5" t="n"/>
      <c r="M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>
        <f>IF(AND(ISNUMBER(G103),ISNUMBER(H103)),G103*H103,"")</f>
        <v/>
      </c>
      <c r="J103" s="5">
        <f>IF(I103="","",IF(I103&gt;=15,"Critique",IF(I103&gt;=10,"Élevé",IF(I103&gt;=5,"Modéré","Faible"))))</f>
        <v/>
      </c>
      <c r="K103" s="5" t="n"/>
      <c r="L103" s="5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>
        <f>IF(AND(ISNUMBER(G104),ISNUMBER(H104)),G104*H104,"")</f>
        <v/>
      </c>
      <c r="J104" s="5">
        <f>IF(I104="","",IF(I104&gt;=15,"Critique",IF(I104&gt;=10,"Élevé",IF(I104&gt;=5,"Modéré","Faible"))))</f>
        <v/>
      </c>
      <c r="K104" s="5" t="n"/>
      <c r="L104" s="5" t="n"/>
      <c r="M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>
        <f>IF(AND(ISNUMBER(G105),ISNUMBER(H105)),G105*H105,"")</f>
        <v/>
      </c>
      <c r="J105" s="5">
        <f>IF(I105="","",IF(I105&gt;=15,"Critique",IF(I105&gt;=10,"Élevé",IF(I105&gt;=5,"Modéré","Faible"))))</f>
        <v/>
      </c>
      <c r="K105" s="5" t="n"/>
      <c r="L105" s="5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>
        <f>IF(AND(ISNUMBER(G106),ISNUMBER(H106)),G106*H106,"")</f>
        <v/>
      </c>
      <c r="J106" s="5">
        <f>IF(I106="","",IF(I106&gt;=15,"Critique",IF(I106&gt;=10,"Élevé",IF(I106&gt;=5,"Modéré","Faible"))))</f>
        <v/>
      </c>
      <c r="K106" s="5" t="n"/>
      <c r="L106" s="5" t="n"/>
      <c r="M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>
        <f>IF(AND(ISNUMBER(G107),ISNUMBER(H107)),G107*H107,"")</f>
        <v/>
      </c>
      <c r="J107" s="5">
        <f>IF(I107="","",IF(I107&gt;=15,"Critique",IF(I107&gt;=10,"Élevé",IF(I107&gt;=5,"Modéré","Faible"))))</f>
        <v/>
      </c>
      <c r="K107" s="5" t="n"/>
      <c r="L107" s="5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>
        <f>IF(AND(ISNUMBER(G108),ISNUMBER(H108)),G108*H108,"")</f>
        <v/>
      </c>
      <c r="J108" s="5">
        <f>IF(I108="","",IF(I108&gt;=15,"Critique",IF(I108&gt;=10,"Élevé",IF(I108&gt;=5,"Modéré","Faible"))))</f>
        <v/>
      </c>
      <c r="K108" s="5" t="n"/>
      <c r="L108" s="5" t="n"/>
      <c r="M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>
        <f>IF(AND(ISNUMBER(G109),ISNUMBER(H109)),G109*H109,"")</f>
        <v/>
      </c>
      <c r="J109" s="5">
        <f>IF(I109="","",IF(I109&gt;=15,"Critique",IF(I109&gt;=10,"Élevé",IF(I109&gt;=5,"Modéré","Faible"))))</f>
        <v/>
      </c>
      <c r="K109" s="5" t="n"/>
      <c r="L109" s="5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>
        <f>IF(AND(ISNUMBER(G110),ISNUMBER(H110)),G110*H110,"")</f>
        <v/>
      </c>
      <c r="J110" s="5">
        <f>IF(I110="","",IF(I110&gt;=15,"Critique",IF(I110&gt;=10,"Élevé",IF(I110&gt;=5,"Modéré","Faible"))))</f>
        <v/>
      </c>
      <c r="K110" s="5" t="n"/>
      <c r="L110" s="5" t="n"/>
      <c r="M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>
        <f>IF(AND(ISNUMBER(G111),ISNUMBER(H111)),G111*H111,"")</f>
        <v/>
      </c>
      <c r="J111" s="5">
        <f>IF(I111="","",IF(I111&gt;=15,"Critique",IF(I111&gt;=10,"Élevé",IF(I111&gt;=5,"Modéré","Faible"))))</f>
        <v/>
      </c>
      <c r="K111" s="5" t="n"/>
      <c r="L111" s="5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>
        <f>IF(AND(ISNUMBER(G112),ISNUMBER(H112)),G112*H112,"")</f>
        <v/>
      </c>
      <c r="J112" s="5">
        <f>IF(I112="","",IF(I112&gt;=15,"Critique",IF(I112&gt;=10,"Élevé",IF(I112&gt;=5,"Modéré","Faible"))))</f>
        <v/>
      </c>
      <c r="K112" s="5" t="n"/>
      <c r="L112" s="5" t="n"/>
      <c r="M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>
        <f>IF(AND(ISNUMBER(G113),ISNUMBER(H113)),G113*H113,"")</f>
        <v/>
      </c>
      <c r="J113" s="5">
        <f>IF(I113="","",IF(I113&gt;=15,"Critique",IF(I113&gt;=10,"Élevé",IF(I113&gt;=5,"Modéré","Faible"))))</f>
        <v/>
      </c>
      <c r="K113" s="5" t="n"/>
      <c r="L113" s="5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>
        <f>IF(AND(ISNUMBER(G114),ISNUMBER(H114)),G114*H114,"")</f>
        <v/>
      </c>
      <c r="J114" s="5">
        <f>IF(I114="","",IF(I114&gt;=15,"Critique",IF(I114&gt;=10,"Élevé",IF(I114&gt;=5,"Modéré","Faible"))))</f>
        <v/>
      </c>
      <c r="K114" s="5" t="n"/>
      <c r="L114" s="5" t="n"/>
      <c r="M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>
        <f>IF(AND(ISNUMBER(G115),ISNUMBER(H115)),G115*H115,"")</f>
        <v/>
      </c>
      <c r="J115" s="5">
        <f>IF(I115="","",IF(I115&gt;=15,"Critique",IF(I115&gt;=10,"Élevé",IF(I115&gt;=5,"Modéré","Faible"))))</f>
        <v/>
      </c>
      <c r="K115" s="5" t="n"/>
      <c r="L115" s="5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>
        <f>IF(AND(ISNUMBER(G116),ISNUMBER(H116)),G116*H116,"")</f>
        <v/>
      </c>
      <c r="J116" s="5">
        <f>IF(I116="","",IF(I116&gt;=15,"Critique",IF(I116&gt;=10,"Élevé",IF(I116&gt;=5,"Modéré","Faible"))))</f>
        <v/>
      </c>
      <c r="K116" s="5" t="n"/>
      <c r="L116" s="5" t="n"/>
      <c r="M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>
        <f>IF(AND(ISNUMBER(G117),ISNUMBER(H117)),G117*H117,"")</f>
        <v/>
      </c>
      <c r="J117" s="5">
        <f>IF(I117="","",IF(I117&gt;=15,"Critique",IF(I117&gt;=10,"Élevé",IF(I117&gt;=5,"Modéré","Faible"))))</f>
        <v/>
      </c>
      <c r="K117" s="5" t="n"/>
      <c r="L117" s="5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>
        <f>IF(AND(ISNUMBER(G118),ISNUMBER(H118)),G118*H118,"")</f>
        <v/>
      </c>
      <c r="J118" s="5">
        <f>IF(I118="","",IF(I118&gt;=15,"Critique",IF(I118&gt;=10,"Élevé",IF(I118&gt;=5,"Modéré","Faible"))))</f>
        <v/>
      </c>
      <c r="K118" s="5" t="n"/>
      <c r="L118" s="5" t="n"/>
      <c r="M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>
        <f>IF(AND(ISNUMBER(G119),ISNUMBER(H119)),G119*H119,"")</f>
        <v/>
      </c>
      <c r="J119" s="5">
        <f>IF(I119="","",IF(I119&gt;=15,"Critique",IF(I119&gt;=10,"Élevé",IF(I119&gt;=5,"Modéré","Faible"))))</f>
        <v/>
      </c>
      <c r="K119" s="5" t="n"/>
      <c r="L119" s="5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>
        <f>IF(AND(ISNUMBER(G120),ISNUMBER(H120)),G120*H120,"")</f>
        <v/>
      </c>
      <c r="J120" s="5">
        <f>IF(I120="","",IF(I120&gt;=15,"Critique",IF(I120&gt;=10,"Élevé",IF(I120&gt;=5,"Modéré","Faible"))))</f>
        <v/>
      </c>
      <c r="K120" s="5" t="n"/>
      <c r="L120" s="5" t="n"/>
      <c r="M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>
        <f>IF(AND(ISNUMBER(G121),ISNUMBER(H121)),G121*H121,"")</f>
        <v/>
      </c>
      <c r="J121" s="5">
        <f>IF(I121="","",IF(I121&gt;=15,"Critique",IF(I121&gt;=10,"Élevé",IF(I121&gt;=5,"Modéré","Faible"))))</f>
        <v/>
      </c>
      <c r="K121" s="5" t="n"/>
      <c r="L121" s="5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>
        <f>IF(AND(ISNUMBER(G122),ISNUMBER(H122)),G122*H122,"")</f>
        <v/>
      </c>
      <c r="J122" s="5">
        <f>IF(I122="","",IF(I122&gt;=15,"Critique",IF(I122&gt;=10,"Élevé",IF(I122&gt;=5,"Modéré","Faible"))))</f>
        <v/>
      </c>
      <c r="K122" s="5" t="n"/>
      <c r="L122" s="5" t="n"/>
      <c r="M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>
        <f>IF(AND(ISNUMBER(G123),ISNUMBER(H123)),G123*H123,"")</f>
        <v/>
      </c>
      <c r="J123" s="5">
        <f>IF(I123="","",IF(I123&gt;=15,"Critique",IF(I123&gt;=10,"Élevé",IF(I123&gt;=5,"Modéré","Faible"))))</f>
        <v/>
      </c>
      <c r="K123" s="5" t="n"/>
      <c r="L123" s="5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>
        <f>IF(AND(ISNUMBER(G124),ISNUMBER(H124)),G124*H124,"")</f>
        <v/>
      </c>
      <c r="J124" s="5">
        <f>IF(I124="","",IF(I124&gt;=15,"Critique",IF(I124&gt;=10,"Élevé",IF(I124&gt;=5,"Modéré","Faible"))))</f>
        <v/>
      </c>
      <c r="K124" s="5" t="n"/>
      <c r="L124" s="5" t="n"/>
      <c r="M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>
        <f>IF(AND(ISNUMBER(G125),ISNUMBER(H125)),G125*H125,"")</f>
        <v/>
      </c>
      <c r="J125" s="5">
        <f>IF(I125="","",IF(I125&gt;=15,"Critique",IF(I125&gt;=10,"Élevé",IF(I125&gt;=5,"Modéré","Faible"))))</f>
        <v/>
      </c>
      <c r="K125" s="5" t="n"/>
      <c r="L125" s="5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>
        <f>IF(AND(ISNUMBER(G126),ISNUMBER(H126)),G126*H126,"")</f>
        <v/>
      </c>
      <c r="J126" s="5">
        <f>IF(I126="","",IF(I126&gt;=15,"Critique",IF(I126&gt;=10,"Élevé",IF(I126&gt;=5,"Modéré","Faible"))))</f>
        <v/>
      </c>
      <c r="K126" s="5" t="n"/>
      <c r="L126" s="5" t="n"/>
      <c r="M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>
        <f>IF(AND(ISNUMBER(G127),ISNUMBER(H127)),G127*H127,"")</f>
        <v/>
      </c>
      <c r="J127" s="5">
        <f>IF(I127="","",IF(I127&gt;=15,"Critique",IF(I127&gt;=10,"Élevé",IF(I127&gt;=5,"Modéré","Faible"))))</f>
        <v/>
      </c>
      <c r="K127" s="5" t="n"/>
      <c r="L127" s="5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>
        <f>IF(AND(ISNUMBER(G128),ISNUMBER(H128)),G128*H128,"")</f>
        <v/>
      </c>
      <c r="J128" s="5">
        <f>IF(I128="","",IF(I128&gt;=15,"Critique",IF(I128&gt;=10,"Élevé",IF(I128&gt;=5,"Modéré","Faible"))))</f>
        <v/>
      </c>
      <c r="K128" s="5" t="n"/>
      <c r="L128" s="5" t="n"/>
      <c r="M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>
        <f>IF(AND(ISNUMBER(G129),ISNUMBER(H129)),G129*H129,"")</f>
        <v/>
      </c>
      <c r="J129" s="5">
        <f>IF(I129="","",IF(I129&gt;=15,"Critique",IF(I129&gt;=10,"Élevé",IF(I129&gt;=5,"Modéré","Faible"))))</f>
        <v/>
      </c>
      <c r="K129" s="5" t="n"/>
      <c r="L129" s="5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>
        <f>IF(AND(ISNUMBER(G130),ISNUMBER(H130)),G130*H130,"")</f>
        <v/>
      </c>
      <c r="J130" s="5">
        <f>IF(I130="","",IF(I130&gt;=15,"Critique",IF(I130&gt;=10,"Élevé",IF(I130&gt;=5,"Modéré","Faible"))))</f>
        <v/>
      </c>
      <c r="K130" s="5" t="n"/>
      <c r="L130" s="5" t="n"/>
      <c r="M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>
        <f>IF(AND(ISNUMBER(G131),ISNUMBER(H131)),G131*H131,"")</f>
        <v/>
      </c>
      <c r="J131" s="5">
        <f>IF(I131="","",IF(I131&gt;=15,"Critique",IF(I131&gt;=10,"Élevé",IF(I131&gt;=5,"Modéré","Faible"))))</f>
        <v/>
      </c>
      <c r="K131" s="5" t="n"/>
      <c r="L131" s="5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>
        <f>IF(AND(ISNUMBER(G132),ISNUMBER(H132)),G132*H132,"")</f>
        <v/>
      </c>
      <c r="J132" s="5">
        <f>IF(I132="","",IF(I132&gt;=15,"Critique",IF(I132&gt;=10,"Élevé",IF(I132&gt;=5,"Modéré","Faible"))))</f>
        <v/>
      </c>
      <c r="K132" s="5" t="n"/>
      <c r="L132" s="5" t="n"/>
      <c r="M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>
        <f>IF(AND(ISNUMBER(G133),ISNUMBER(H133)),G133*H133,"")</f>
        <v/>
      </c>
      <c r="J133" s="5">
        <f>IF(I133="","",IF(I133&gt;=15,"Critique",IF(I133&gt;=10,"Élevé",IF(I133&gt;=5,"Modéré","Faible"))))</f>
        <v/>
      </c>
      <c r="K133" s="5" t="n"/>
      <c r="L133" s="5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>
        <f>IF(AND(ISNUMBER(G134),ISNUMBER(H134)),G134*H134,"")</f>
        <v/>
      </c>
      <c r="J134" s="5">
        <f>IF(I134="","",IF(I134&gt;=15,"Critique",IF(I134&gt;=10,"Élevé",IF(I134&gt;=5,"Modéré","Faible"))))</f>
        <v/>
      </c>
      <c r="K134" s="5" t="n"/>
      <c r="L134" s="5" t="n"/>
      <c r="M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>
        <f>IF(AND(ISNUMBER(G135),ISNUMBER(H135)),G135*H135,"")</f>
        <v/>
      </c>
      <c r="J135" s="5">
        <f>IF(I135="","",IF(I135&gt;=15,"Critique",IF(I135&gt;=10,"Élevé",IF(I135&gt;=5,"Modéré","Faible"))))</f>
        <v/>
      </c>
      <c r="K135" s="5" t="n"/>
      <c r="L135" s="5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>
        <f>IF(AND(ISNUMBER(G136),ISNUMBER(H136)),G136*H136,"")</f>
        <v/>
      </c>
      <c r="J136" s="5">
        <f>IF(I136="","",IF(I136&gt;=15,"Critique",IF(I136&gt;=10,"Élevé",IF(I136&gt;=5,"Modéré","Faible"))))</f>
        <v/>
      </c>
      <c r="K136" s="5" t="n"/>
      <c r="L136" s="5" t="n"/>
      <c r="M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>
        <f>IF(AND(ISNUMBER(G137),ISNUMBER(H137)),G137*H137,"")</f>
        <v/>
      </c>
      <c r="J137" s="5">
        <f>IF(I137="","",IF(I137&gt;=15,"Critique",IF(I137&gt;=10,"Élevé",IF(I137&gt;=5,"Modéré","Faible"))))</f>
        <v/>
      </c>
      <c r="K137" s="5" t="n"/>
      <c r="L137" s="5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>
        <f>IF(AND(ISNUMBER(G138),ISNUMBER(H138)),G138*H138,"")</f>
        <v/>
      </c>
      <c r="J138" s="5">
        <f>IF(I138="","",IF(I138&gt;=15,"Critique",IF(I138&gt;=10,"Élevé",IF(I138&gt;=5,"Modéré","Faible"))))</f>
        <v/>
      </c>
      <c r="K138" s="5" t="n"/>
      <c r="L138" s="5" t="n"/>
      <c r="M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>
        <f>IF(AND(ISNUMBER(G139),ISNUMBER(H139)),G139*H139,"")</f>
        <v/>
      </c>
      <c r="J139" s="5">
        <f>IF(I139="","",IF(I139&gt;=15,"Critique",IF(I139&gt;=10,"Élevé",IF(I139&gt;=5,"Modéré","Faible"))))</f>
        <v/>
      </c>
      <c r="K139" s="5" t="n"/>
      <c r="L139" s="5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>
        <f>IF(AND(ISNUMBER(G140),ISNUMBER(H140)),G140*H140,"")</f>
        <v/>
      </c>
      <c r="J140" s="5">
        <f>IF(I140="","",IF(I140&gt;=15,"Critique",IF(I140&gt;=10,"Élevé",IF(I140&gt;=5,"Modéré","Faible"))))</f>
        <v/>
      </c>
      <c r="K140" s="5" t="n"/>
      <c r="L140" s="5" t="n"/>
      <c r="M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>
        <f>IF(AND(ISNUMBER(G141),ISNUMBER(H141)),G141*H141,"")</f>
        <v/>
      </c>
      <c r="J141" s="5">
        <f>IF(I141="","",IF(I141&gt;=15,"Critique",IF(I141&gt;=10,"Élevé",IF(I141&gt;=5,"Modéré","Faible"))))</f>
        <v/>
      </c>
      <c r="K141" s="5" t="n"/>
      <c r="L141" s="5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>
        <f>IF(AND(ISNUMBER(G142),ISNUMBER(H142)),G142*H142,"")</f>
        <v/>
      </c>
      <c r="J142" s="5">
        <f>IF(I142="","",IF(I142&gt;=15,"Critique",IF(I142&gt;=10,"Élevé",IF(I142&gt;=5,"Modéré","Faible"))))</f>
        <v/>
      </c>
      <c r="K142" s="5" t="n"/>
      <c r="L142" s="5" t="n"/>
      <c r="M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>
        <f>IF(AND(ISNUMBER(G143),ISNUMBER(H143)),G143*H143,"")</f>
        <v/>
      </c>
      <c r="J143" s="5">
        <f>IF(I143="","",IF(I143&gt;=15,"Critique",IF(I143&gt;=10,"Élevé",IF(I143&gt;=5,"Modéré","Faible"))))</f>
        <v/>
      </c>
      <c r="K143" s="5" t="n"/>
      <c r="L143" s="5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>
        <f>IF(AND(ISNUMBER(G144),ISNUMBER(H144)),G144*H144,"")</f>
        <v/>
      </c>
      <c r="J144" s="5">
        <f>IF(I144="","",IF(I144&gt;=15,"Critique",IF(I144&gt;=10,"Élevé",IF(I144&gt;=5,"Modéré","Faible"))))</f>
        <v/>
      </c>
      <c r="K144" s="5" t="n"/>
      <c r="L144" s="5" t="n"/>
      <c r="M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>
        <f>IF(AND(ISNUMBER(G145),ISNUMBER(H145)),G145*H145,"")</f>
        <v/>
      </c>
      <c r="J145" s="5">
        <f>IF(I145="","",IF(I145&gt;=15,"Critique",IF(I145&gt;=10,"Élevé",IF(I145&gt;=5,"Modéré","Faible"))))</f>
        <v/>
      </c>
      <c r="K145" s="5" t="n"/>
      <c r="L145" s="5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>
        <f>IF(AND(ISNUMBER(G146),ISNUMBER(H146)),G146*H146,"")</f>
        <v/>
      </c>
      <c r="J146" s="5">
        <f>IF(I146="","",IF(I146&gt;=15,"Critique",IF(I146&gt;=10,"Élevé",IF(I146&gt;=5,"Modéré","Faible"))))</f>
        <v/>
      </c>
      <c r="K146" s="5" t="n"/>
      <c r="L146" s="5" t="n"/>
      <c r="M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>
        <f>IF(AND(ISNUMBER(G147),ISNUMBER(H147)),G147*H147,"")</f>
        <v/>
      </c>
      <c r="J147" s="5">
        <f>IF(I147="","",IF(I147&gt;=15,"Critique",IF(I147&gt;=10,"Élevé",IF(I147&gt;=5,"Modéré","Faible"))))</f>
        <v/>
      </c>
      <c r="K147" s="5" t="n"/>
      <c r="L147" s="5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>
        <f>IF(AND(ISNUMBER(G148),ISNUMBER(H148)),G148*H148,"")</f>
        <v/>
      </c>
      <c r="J148" s="5">
        <f>IF(I148="","",IF(I148&gt;=15,"Critique",IF(I148&gt;=10,"Élevé",IF(I148&gt;=5,"Modéré","Faible"))))</f>
        <v/>
      </c>
      <c r="K148" s="5" t="n"/>
      <c r="L148" s="5" t="n"/>
      <c r="M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>
        <f>IF(AND(ISNUMBER(G149),ISNUMBER(H149)),G149*H149,"")</f>
        <v/>
      </c>
      <c r="J149" s="5">
        <f>IF(I149="","",IF(I149&gt;=15,"Critique",IF(I149&gt;=10,"Élevé",IF(I149&gt;=5,"Modéré","Faible"))))</f>
        <v/>
      </c>
      <c r="K149" s="5" t="n"/>
      <c r="L149" s="5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>
        <f>IF(AND(ISNUMBER(G150),ISNUMBER(H150)),G150*H150,"")</f>
        <v/>
      </c>
      <c r="J150" s="5">
        <f>IF(I150="","",IF(I150&gt;=15,"Critique",IF(I150&gt;=10,"Élevé",IF(I150&gt;=5,"Modéré","Faible"))))</f>
        <v/>
      </c>
      <c r="K150" s="5" t="n"/>
      <c r="L150" s="5" t="n"/>
      <c r="M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>
        <f>IF(AND(ISNUMBER(G151),ISNUMBER(H151)),G151*H151,"")</f>
        <v/>
      </c>
      <c r="J151" s="5">
        <f>IF(I151="","",IF(I151&gt;=15,"Critique",IF(I151&gt;=10,"Élevé",IF(I151&gt;=5,"Modéré","Faible"))))</f>
        <v/>
      </c>
      <c r="K151" s="5" t="n"/>
      <c r="L151" s="5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>
        <f>IF(AND(ISNUMBER(G152),ISNUMBER(H152)),G152*H152,"")</f>
        <v/>
      </c>
      <c r="J152" s="5">
        <f>IF(I152="","",IF(I152&gt;=15,"Critique",IF(I152&gt;=10,"Élevé",IF(I152&gt;=5,"Modéré","Faible"))))</f>
        <v/>
      </c>
      <c r="K152" s="5" t="n"/>
      <c r="L152" s="5" t="n"/>
      <c r="M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>
        <f>IF(AND(ISNUMBER(G153),ISNUMBER(H153)),G153*H153,"")</f>
        <v/>
      </c>
      <c r="J153" s="5">
        <f>IF(I153="","",IF(I153&gt;=15,"Critique",IF(I153&gt;=10,"Élevé",IF(I153&gt;=5,"Modéré","Faible"))))</f>
        <v/>
      </c>
      <c r="K153" s="5" t="n"/>
      <c r="L153" s="5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>
        <f>IF(AND(ISNUMBER(G154),ISNUMBER(H154)),G154*H154,"")</f>
        <v/>
      </c>
      <c r="J154" s="5">
        <f>IF(I154="","",IF(I154&gt;=15,"Critique",IF(I154&gt;=10,"Élevé",IF(I154&gt;=5,"Modéré","Faible"))))</f>
        <v/>
      </c>
      <c r="K154" s="5" t="n"/>
      <c r="L154" s="5" t="n"/>
      <c r="M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>
        <f>IF(AND(ISNUMBER(G155),ISNUMBER(H155)),G155*H155,"")</f>
        <v/>
      </c>
      <c r="J155" s="5">
        <f>IF(I155="","",IF(I155&gt;=15,"Critique",IF(I155&gt;=10,"Élevé",IF(I155&gt;=5,"Modéré","Faible"))))</f>
        <v/>
      </c>
      <c r="K155" s="5" t="n"/>
      <c r="L155" s="5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>
        <f>IF(AND(ISNUMBER(G156),ISNUMBER(H156)),G156*H156,"")</f>
        <v/>
      </c>
      <c r="J156" s="5">
        <f>IF(I156="","",IF(I156&gt;=15,"Critique",IF(I156&gt;=10,"Élevé",IF(I156&gt;=5,"Modéré","Faible"))))</f>
        <v/>
      </c>
      <c r="K156" s="5" t="n"/>
      <c r="L156" s="5" t="n"/>
      <c r="M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>
        <f>IF(AND(ISNUMBER(G157),ISNUMBER(H157)),G157*H157,"")</f>
        <v/>
      </c>
      <c r="J157" s="5">
        <f>IF(I157="","",IF(I157&gt;=15,"Critique",IF(I157&gt;=10,"Élevé",IF(I157&gt;=5,"Modéré","Faible"))))</f>
        <v/>
      </c>
      <c r="K157" s="5" t="n"/>
      <c r="L157" s="5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>
        <f>IF(AND(ISNUMBER(G158),ISNUMBER(H158)),G158*H158,"")</f>
        <v/>
      </c>
      <c r="J158" s="5">
        <f>IF(I158="","",IF(I158&gt;=15,"Critique",IF(I158&gt;=10,"Élevé",IF(I158&gt;=5,"Modéré","Faible"))))</f>
        <v/>
      </c>
      <c r="K158" s="5" t="n"/>
      <c r="L158" s="5" t="n"/>
      <c r="M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>
        <f>IF(AND(ISNUMBER(G159),ISNUMBER(H159)),G159*H159,"")</f>
        <v/>
      </c>
      <c r="J159" s="5">
        <f>IF(I159="","",IF(I159&gt;=15,"Critique",IF(I159&gt;=10,"Élevé",IF(I159&gt;=5,"Modéré","Faible"))))</f>
        <v/>
      </c>
      <c r="K159" s="5" t="n"/>
      <c r="L159" s="5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>
        <f>IF(AND(ISNUMBER(G160),ISNUMBER(H160)),G160*H160,"")</f>
        <v/>
      </c>
      <c r="J160" s="5">
        <f>IF(I160="","",IF(I160&gt;=15,"Critique",IF(I160&gt;=10,"Élevé",IF(I160&gt;=5,"Modéré","Faible"))))</f>
        <v/>
      </c>
      <c r="K160" s="5" t="n"/>
      <c r="L160" s="5" t="n"/>
      <c r="M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>
        <f>IF(AND(ISNUMBER(G161),ISNUMBER(H161)),G161*H161,"")</f>
        <v/>
      </c>
      <c r="J161" s="5">
        <f>IF(I161="","",IF(I161&gt;=15,"Critique",IF(I161&gt;=10,"Élevé",IF(I161&gt;=5,"Modéré","Faible"))))</f>
        <v/>
      </c>
      <c r="K161" s="5" t="n"/>
      <c r="L161" s="5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>
        <f>IF(AND(ISNUMBER(G162),ISNUMBER(H162)),G162*H162,"")</f>
        <v/>
      </c>
      <c r="J162" s="5">
        <f>IF(I162="","",IF(I162&gt;=15,"Critique",IF(I162&gt;=10,"Élevé",IF(I162&gt;=5,"Modéré","Faible"))))</f>
        <v/>
      </c>
      <c r="K162" s="5" t="n"/>
      <c r="L162" s="5" t="n"/>
      <c r="M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>
        <f>IF(AND(ISNUMBER(G163),ISNUMBER(H163)),G163*H163,"")</f>
        <v/>
      </c>
      <c r="J163" s="5">
        <f>IF(I163="","",IF(I163&gt;=15,"Critique",IF(I163&gt;=10,"Élevé",IF(I163&gt;=5,"Modéré","Faible"))))</f>
        <v/>
      </c>
      <c r="K163" s="5" t="n"/>
      <c r="L163" s="5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>
        <f>IF(AND(ISNUMBER(G164),ISNUMBER(H164)),G164*H164,"")</f>
        <v/>
      </c>
      <c r="J164" s="5">
        <f>IF(I164="","",IF(I164&gt;=15,"Critique",IF(I164&gt;=10,"Élevé",IF(I164&gt;=5,"Modéré","Faible"))))</f>
        <v/>
      </c>
      <c r="K164" s="5" t="n"/>
      <c r="L164" s="5" t="n"/>
      <c r="M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>
        <f>IF(AND(ISNUMBER(G165),ISNUMBER(H165)),G165*H165,"")</f>
        <v/>
      </c>
      <c r="J165" s="5">
        <f>IF(I165="","",IF(I165&gt;=15,"Critique",IF(I165&gt;=10,"Élevé",IF(I165&gt;=5,"Modéré","Faible"))))</f>
        <v/>
      </c>
      <c r="K165" s="5" t="n"/>
      <c r="L165" s="5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>
        <f>IF(AND(ISNUMBER(G166),ISNUMBER(H166)),G166*H166,"")</f>
        <v/>
      </c>
      <c r="J166" s="5">
        <f>IF(I166="","",IF(I166&gt;=15,"Critique",IF(I166&gt;=10,"Élevé",IF(I166&gt;=5,"Modéré","Faible"))))</f>
        <v/>
      </c>
      <c r="K166" s="5" t="n"/>
      <c r="L166" s="5" t="n"/>
      <c r="M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>
        <f>IF(AND(ISNUMBER(G167),ISNUMBER(H167)),G167*H167,"")</f>
        <v/>
      </c>
      <c r="J167" s="5">
        <f>IF(I167="","",IF(I167&gt;=15,"Critique",IF(I167&gt;=10,"Élevé",IF(I167&gt;=5,"Modéré","Faible"))))</f>
        <v/>
      </c>
      <c r="K167" s="5" t="n"/>
      <c r="L167" s="5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>
        <f>IF(AND(ISNUMBER(G168),ISNUMBER(H168)),G168*H168,"")</f>
        <v/>
      </c>
      <c r="J168" s="5">
        <f>IF(I168="","",IF(I168&gt;=15,"Critique",IF(I168&gt;=10,"Élevé",IF(I168&gt;=5,"Modéré","Faible"))))</f>
        <v/>
      </c>
      <c r="K168" s="5" t="n"/>
      <c r="L168" s="5" t="n"/>
      <c r="M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>
        <f>IF(AND(ISNUMBER(G169),ISNUMBER(H169)),G169*H169,"")</f>
        <v/>
      </c>
      <c r="J169" s="5">
        <f>IF(I169="","",IF(I169&gt;=15,"Critique",IF(I169&gt;=10,"Élevé",IF(I169&gt;=5,"Modéré","Faible"))))</f>
        <v/>
      </c>
      <c r="K169" s="5" t="n"/>
      <c r="L169" s="5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>
        <f>IF(AND(ISNUMBER(G170),ISNUMBER(H170)),G170*H170,"")</f>
        <v/>
      </c>
      <c r="J170" s="5">
        <f>IF(I170="","",IF(I170&gt;=15,"Critique",IF(I170&gt;=10,"Élevé",IF(I170&gt;=5,"Modéré","Faible"))))</f>
        <v/>
      </c>
      <c r="K170" s="5" t="n"/>
      <c r="L170" s="5" t="n"/>
      <c r="M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>
        <f>IF(AND(ISNUMBER(G171),ISNUMBER(H171)),G171*H171,"")</f>
        <v/>
      </c>
      <c r="J171" s="5">
        <f>IF(I171="","",IF(I171&gt;=15,"Critique",IF(I171&gt;=10,"Élevé",IF(I171&gt;=5,"Modéré","Faible"))))</f>
        <v/>
      </c>
      <c r="K171" s="5" t="n"/>
      <c r="L171" s="5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>
        <f>IF(AND(ISNUMBER(G172),ISNUMBER(H172)),G172*H172,"")</f>
        <v/>
      </c>
      <c r="J172" s="5">
        <f>IF(I172="","",IF(I172&gt;=15,"Critique",IF(I172&gt;=10,"Élevé",IF(I172&gt;=5,"Modéré","Faible"))))</f>
        <v/>
      </c>
      <c r="K172" s="5" t="n"/>
      <c r="L172" s="5" t="n"/>
      <c r="M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>
        <f>IF(AND(ISNUMBER(G173),ISNUMBER(H173)),G173*H173,"")</f>
        <v/>
      </c>
      <c r="J173" s="5">
        <f>IF(I173="","",IF(I173&gt;=15,"Critique",IF(I173&gt;=10,"Élevé",IF(I173&gt;=5,"Modéré","Faible"))))</f>
        <v/>
      </c>
      <c r="K173" s="5" t="n"/>
      <c r="L173" s="5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>
        <f>IF(AND(ISNUMBER(G174),ISNUMBER(H174)),G174*H174,"")</f>
        <v/>
      </c>
      <c r="J174" s="5">
        <f>IF(I174="","",IF(I174&gt;=15,"Critique",IF(I174&gt;=10,"Élevé",IF(I174&gt;=5,"Modéré","Faible"))))</f>
        <v/>
      </c>
      <c r="K174" s="5" t="n"/>
      <c r="L174" s="5" t="n"/>
      <c r="M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>
        <f>IF(AND(ISNUMBER(G175),ISNUMBER(H175)),G175*H175,"")</f>
        <v/>
      </c>
      <c r="J175" s="5">
        <f>IF(I175="","",IF(I175&gt;=15,"Critique",IF(I175&gt;=10,"Élevé",IF(I175&gt;=5,"Modéré","Faible"))))</f>
        <v/>
      </c>
      <c r="K175" s="5" t="n"/>
      <c r="L175" s="5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>
        <f>IF(AND(ISNUMBER(G176),ISNUMBER(H176)),G176*H176,"")</f>
        <v/>
      </c>
      <c r="J176" s="5">
        <f>IF(I176="","",IF(I176&gt;=15,"Critique",IF(I176&gt;=10,"Élevé",IF(I176&gt;=5,"Modéré","Faible"))))</f>
        <v/>
      </c>
      <c r="K176" s="5" t="n"/>
      <c r="L176" s="5" t="n"/>
      <c r="M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>
        <f>IF(AND(ISNUMBER(G177),ISNUMBER(H177)),G177*H177,"")</f>
        <v/>
      </c>
      <c r="J177" s="5">
        <f>IF(I177="","",IF(I177&gt;=15,"Critique",IF(I177&gt;=10,"Élevé",IF(I177&gt;=5,"Modéré","Faible"))))</f>
        <v/>
      </c>
      <c r="K177" s="5" t="n"/>
      <c r="L177" s="5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>
        <f>IF(AND(ISNUMBER(G178),ISNUMBER(H178)),G178*H178,"")</f>
        <v/>
      </c>
      <c r="J178" s="5">
        <f>IF(I178="","",IF(I178&gt;=15,"Critique",IF(I178&gt;=10,"Élevé",IF(I178&gt;=5,"Modéré","Faible"))))</f>
        <v/>
      </c>
      <c r="K178" s="5" t="n"/>
      <c r="L178" s="5" t="n"/>
      <c r="M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>
        <f>IF(AND(ISNUMBER(G179),ISNUMBER(H179)),G179*H179,"")</f>
        <v/>
      </c>
      <c r="J179" s="5">
        <f>IF(I179="","",IF(I179&gt;=15,"Critique",IF(I179&gt;=10,"Élevé",IF(I179&gt;=5,"Modéré","Faible"))))</f>
        <v/>
      </c>
      <c r="K179" s="5" t="n"/>
      <c r="L179" s="5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>
        <f>IF(AND(ISNUMBER(G180),ISNUMBER(H180)),G180*H180,"")</f>
        <v/>
      </c>
      <c r="J180" s="5">
        <f>IF(I180="","",IF(I180&gt;=15,"Critique",IF(I180&gt;=10,"Élevé",IF(I180&gt;=5,"Modéré","Faible"))))</f>
        <v/>
      </c>
      <c r="K180" s="5" t="n"/>
      <c r="L180" s="5" t="n"/>
      <c r="M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>
        <f>IF(AND(ISNUMBER(G181),ISNUMBER(H181)),G181*H181,"")</f>
        <v/>
      </c>
      <c r="J181" s="5">
        <f>IF(I181="","",IF(I181&gt;=15,"Critique",IF(I181&gt;=10,"Élevé",IF(I181&gt;=5,"Modéré","Faible"))))</f>
        <v/>
      </c>
      <c r="K181" s="5" t="n"/>
      <c r="L181" s="5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>
        <f>IF(AND(ISNUMBER(G182),ISNUMBER(H182)),G182*H182,"")</f>
        <v/>
      </c>
      <c r="J182" s="5">
        <f>IF(I182="","",IF(I182&gt;=15,"Critique",IF(I182&gt;=10,"Élevé",IF(I182&gt;=5,"Modéré","Faible"))))</f>
        <v/>
      </c>
      <c r="K182" s="5" t="n"/>
      <c r="L182" s="5" t="n"/>
      <c r="M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>
        <f>IF(AND(ISNUMBER(G183),ISNUMBER(H183)),G183*H183,"")</f>
        <v/>
      </c>
      <c r="J183" s="5">
        <f>IF(I183="","",IF(I183&gt;=15,"Critique",IF(I183&gt;=10,"Élevé",IF(I183&gt;=5,"Modéré","Faible"))))</f>
        <v/>
      </c>
      <c r="K183" s="5" t="n"/>
      <c r="L183" s="5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>
        <f>IF(AND(ISNUMBER(G184),ISNUMBER(H184)),G184*H184,"")</f>
        <v/>
      </c>
      <c r="J184" s="5">
        <f>IF(I184="","",IF(I184&gt;=15,"Critique",IF(I184&gt;=10,"Élevé",IF(I184&gt;=5,"Modéré","Faible"))))</f>
        <v/>
      </c>
      <c r="K184" s="5" t="n"/>
      <c r="L184" s="5" t="n"/>
      <c r="M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>
        <f>IF(AND(ISNUMBER(G185),ISNUMBER(H185)),G185*H185,"")</f>
        <v/>
      </c>
      <c r="J185" s="5">
        <f>IF(I185="","",IF(I185&gt;=15,"Critique",IF(I185&gt;=10,"Élevé",IF(I185&gt;=5,"Modéré","Faible"))))</f>
        <v/>
      </c>
      <c r="K185" s="5" t="n"/>
      <c r="L185" s="5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>
        <f>IF(AND(ISNUMBER(G186),ISNUMBER(H186)),G186*H186,"")</f>
        <v/>
      </c>
      <c r="J186" s="5">
        <f>IF(I186="","",IF(I186&gt;=15,"Critique",IF(I186&gt;=10,"Élevé",IF(I186&gt;=5,"Modéré","Faible"))))</f>
        <v/>
      </c>
      <c r="K186" s="5" t="n"/>
      <c r="L186" s="5" t="n"/>
      <c r="M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>
        <f>IF(AND(ISNUMBER(G187),ISNUMBER(H187)),G187*H187,"")</f>
        <v/>
      </c>
      <c r="J187" s="5">
        <f>IF(I187="","",IF(I187&gt;=15,"Critique",IF(I187&gt;=10,"Élevé",IF(I187&gt;=5,"Modéré","Faible"))))</f>
        <v/>
      </c>
      <c r="K187" s="5" t="n"/>
      <c r="L187" s="5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>
        <f>IF(AND(ISNUMBER(G188),ISNUMBER(H188)),G188*H188,"")</f>
        <v/>
      </c>
      <c r="J188" s="5">
        <f>IF(I188="","",IF(I188&gt;=15,"Critique",IF(I188&gt;=10,"Élevé",IF(I188&gt;=5,"Modéré","Faible"))))</f>
        <v/>
      </c>
      <c r="K188" s="5" t="n"/>
      <c r="L188" s="5" t="n"/>
      <c r="M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>
        <f>IF(AND(ISNUMBER(G189),ISNUMBER(H189)),G189*H189,"")</f>
        <v/>
      </c>
      <c r="J189" s="5">
        <f>IF(I189="","",IF(I189&gt;=15,"Critique",IF(I189&gt;=10,"Élevé",IF(I189&gt;=5,"Modéré","Faible"))))</f>
        <v/>
      </c>
      <c r="K189" s="5" t="n"/>
      <c r="L189" s="5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>
        <f>IF(AND(ISNUMBER(G190),ISNUMBER(H190)),G190*H190,"")</f>
        <v/>
      </c>
      <c r="J190" s="5">
        <f>IF(I190="","",IF(I190&gt;=15,"Critique",IF(I190&gt;=10,"Élevé",IF(I190&gt;=5,"Modéré","Faible"))))</f>
        <v/>
      </c>
      <c r="K190" s="5" t="n"/>
      <c r="L190" s="5" t="n"/>
      <c r="M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>
        <f>IF(AND(ISNUMBER(G191),ISNUMBER(H191)),G191*H191,"")</f>
        <v/>
      </c>
      <c r="J191" s="5">
        <f>IF(I191="","",IF(I191&gt;=15,"Critique",IF(I191&gt;=10,"Élevé",IF(I191&gt;=5,"Modéré","Faible"))))</f>
        <v/>
      </c>
      <c r="K191" s="5" t="n"/>
      <c r="L191" s="5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>
        <f>IF(AND(ISNUMBER(G192),ISNUMBER(H192)),G192*H192,"")</f>
        <v/>
      </c>
      <c r="J192" s="5">
        <f>IF(I192="","",IF(I192&gt;=15,"Critique",IF(I192&gt;=10,"Élevé",IF(I192&gt;=5,"Modéré","Faible"))))</f>
        <v/>
      </c>
      <c r="K192" s="5" t="n"/>
      <c r="L192" s="5" t="n"/>
      <c r="M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>
        <f>IF(AND(ISNUMBER(G193),ISNUMBER(H193)),G193*H193,"")</f>
        <v/>
      </c>
      <c r="J193" s="5">
        <f>IF(I193="","",IF(I193&gt;=15,"Critique",IF(I193&gt;=10,"Élevé",IF(I193&gt;=5,"Modéré","Faible"))))</f>
        <v/>
      </c>
      <c r="K193" s="5" t="n"/>
      <c r="L193" s="5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>
        <f>IF(AND(ISNUMBER(G194),ISNUMBER(H194)),G194*H194,"")</f>
        <v/>
      </c>
      <c r="J194" s="5">
        <f>IF(I194="","",IF(I194&gt;=15,"Critique",IF(I194&gt;=10,"Élevé",IF(I194&gt;=5,"Modéré","Faible"))))</f>
        <v/>
      </c>
      <c r="K194" s="5" t="n"/>
      <c r="L194" s="5" t="n"/>
      <c r="M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>
        <f>IF(AND(ISNUMBER(G195),ISNUMBER(H195)),G195*H195,"")</f>
        <v/>
      </c>
      <c r="J195" s="5">
        <f>IF(I195="","",IF(I195&gt;=15,"Critique",IF(I195&gt;=10,"Élevé",IF(I195&gt;=5,"Modéré","Faible"))))</f>
        <v/>
      </c>
      <c r="K195" s="5" t="n"/>
      <c r="L195" s="5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>
        <f>IF(AND(ISNUMBER(G196),ISNUMBER(H196)),G196*H196,"")</f>
        <v/>
      </c>
      <c r="J196" s="5">
        <f>IF(I196="","",IF(I196&gt;=15,"Critique",IF(I196&gt;=10,"Élevé",IF(I196&gt;=5,"Modéré","Faible"))))</f>
        <v/>
      </c>
      <c r="K196" s="5" t="n"/>
      <c r="L196" s="5" t="n"/>
      <c r="M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>
        <f>IF(AND(ISNUMBER(G197),ISNUMBER(H197)),G197*H197,"")</f>
        <v/>
      </c>
      <c r="J197" s="5">
        <f>IF(I197="","",IF(I197&gt;=15,"Critique",IF(I197&gt;=10,"Élevé",IF(I197&gt;=5,"Modéré","Faible"))))</f>
        <v/>
      </c>
      <c r="K197" s="5" t="n"/>
      <c r="L197" s="5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>
        <f>IF(AND(ISNUMBER(G198),ISNUMBER(H198)),G198*H198,"")</f>
        <v/>
      </c>
      <c r="J198" s="5">
        <f>IF(I198="","",IF(I198&gt;=15,"Critique",IF(I198&gt;=10,"Élevé",IF(I198&gt;=5,"Modéré","Faible"))))</f>
        <v/>
      </c>
      <c r="K198" s="5" t="n"/>
      <c r="L198" s="5" t="n"/>
      <c r="M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>
        <f>IF(AND(ISNUMBER(G199),ISNUMBER(H199)),G199*H199,"")</f>
        <v/>
      </c>
      <c r="J199" s="5">
        <f>IF(I199="","",IF(I199&gt;=15,"Critique",IF(I199&gt;=10,"Élevé",IF(I199&gt;=5,"Modéré","Faible"))))</f>
        <v/>
      </c>
      <c r="K199" s="5" t="n"/>
      <c r="L199" s="5" t="n"/>
      <c r="M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>
        <f>IF(AND(ISNUMBER(G200),ISNUMBER(H200)),G200*H200,"")</f>
        <v/>
      </c>
      <c r="J200" s="5">
        <f>IF(I200="","",IF(I200&gt;=15,"Critique",IF(I200&gt;=10,"Élevé",IF(I200&gt;=5,"Modéré","Faible"))))</f>
        <v/>
      </c>
      <c r="K200" s="5" t="n"/>
      <c r="L200" s="5" t="n"/>
      <c r="M200" s="6" t="n"/>
    </row>
  </sheetData>
  <autoFilter ref="A1:M200"/>
  <conditionalFormatting sqref="I2:J200">
    <cfRule type="expression" priority="1" dxfId="0">
      <formula>AND($I2&lt;&gt;"",$I2&gt;=15)</formula>
    </cfRule>
    <cfRule type="expression" priority="2" dxfId="1">
      <formula>AND($I2&lt;&gt;"",$I2&gt;=10)</formula>
    </cfRule>
    <cfRule type="expression" priority="3" dxfId="2">
      <formula>AND($I2&lt;&gt;"",$I2&gt;=5)</formula>
    </cfRule>
    <cfRule type="expression" priority="4" dxfId="3">
      <formula>AND($I2&lt;&gt;"",$I2&gt;=1)</formula>
    </cfRule>
  </conditionalFormatting>
  <conditionalFormatting sqref="M2:M200">
    <cfRule type="expression" priority="5" dxfId="4">
      <formula>AND($M2&lt;&gt;"",$M2&lt;TODAY(),$K2&lt;&gt;"Clos")</formula>
    </cfRule>
  </conditionalFormatting>
  <dataValidations count="3">
    <dataValidation sqref="E2:E200" showDropDown="0" showInputMessage="0" showErrorMessage="0" allowBlank="1" errorTitle="Valeur invalide" error="Choisissez une valeur dans la liste." type="list">
      <formula1>"Technique,Planning,Financier,Ressources,Fournisseur,Juridique,Qualité"</formula1>
    </dataValidation>
    <dataValidation sqref="G2:H200" showDropDown="0" showInputMessage="0" showErrorMessage="0" allowBlank="1" errorTitle="Valeur invalide" error="Choisissez une valeur dans la liste." prompt="1 = très faible, 5 = très fort" type="list">
      <formula1>"1,2,3,4,5"</formula1>
    </dataValidation>
    <dataValidation sqref="K2:K200" showDropDown="0" showInputMessage="0" showErrorMessage="0" allowBlank="1" errorTitle="Valeur invalide" error="Choisissez une valeur dans la liste." type="list">
      <formula1>"Ouvert,En traitement,Clos"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Matrice Probabilité × Impact (risques non clos)</t>
        </is>
      </c>
    </row>
    <row r="3">
      <c r="B3" s="7" t="inlineStr">
        <is>
          <t>Impact →</t>
        </is>
      </c>
    </row>
    <row r="4">
      <c r="A4" s="7" t="inlineStr">
        <is>
          <t>Probabilité ↓</t>
        </is>
      </c>
      <c r="C4" s="8" t="n">
        <v>1</v>
      </c>
      <c r="D4" s="8" t="n">
        <v>2</v>
      </c>
      <c r="E4" s="8" t="n">
        <v>3</v>
      </c>
      <c r="F4" s="8" t="n">
        <v>4</v>
      </c>
      <c r="G4" s="8" t="n">
        <v>5</v>
      </c>
    </row>
    <row r="5" ht="38" customHeight="1">
      <c r="B5" s="8" t="n">
        <v>5</v>
      </c>
      <c r="C5" s="9">
        <f>COUNTIFS(Risques!$G$2:$G$200,$B5,Risques!$H$2:$H$200,C$4,Risques!$K$2:$K$200,"&lt;&gt;Clos")</f>
        <v/>
      </c>
      <c r="D5" s="10">
        <f>COUNTIFS(Risques!$G$2:$G$200,$B5,Risques!$H$2:$H$200,D$4,Risques!$K$2:$K$200,"&lt;&gt;Clos")</f>
        <v/>
      </c>
      <c r="E5" s="11">
        <f>COUNTIFS(Risques!$G$2:$G$200,$B5,Risques!$H$2:$H$200,E$4,Risques!$K$2:$K$200,"&lt;&gt;Clos")</f>
        <v/>
      </c>
      <c r="F5" s="11">
        <f>COUNTIFS(Risques!$G$2:$G$200,$B5,Risques!$H$2:$H$200,F$4,Risques!$K$2:$K$200,"&lt;&gt;Clos")</f>
        <v/>
      </c>
      <c r="G5" s="11">
        <f>COUNTIFS(Risques!$G$2:$G$200,$B5,Risques!$H$2:$H$200,G$4,Risques!$K$2:$K$200,"&lt;&gt;Clos")</f>
        <v/>
      </c>
    </row>
    <row r="6" ht="38" customHeight="1">
      <c r="B6" s="8" t="n">
        <v>4</v>
      </c>
      <c r="C6" s="12">
        <f>COUNTIFS(Risques!$G$2:$G$200,$B6,Risques!$H$2:$H$200,C$4,Risques!$K$2:$K$200,"&lt;&gt;Clos")</f>
        <v/>
      </c>
      <c r="D6" s="9">
        <f>COUNTIFS(Risques!$G$2:$G$200,$B6,Risques!$H$2:$H$200,D$4,Risques!$K$2:$K$200,"&lt;&gt;Clos")</f>
        <v/>
      </c>
      <c r="E6" s="10">
        <f>COUNTIFS(Risques!$G$2:$G$200,$B6,Risques!$H$2:$H$200,E$4,Risques!$K$2:$K$200,"&lt;&gt;Clos")</f>
        <v/>
      </c>
      <c r="F6" s="11">
        <f>COUNTIFS(Risques!$G$2:$G$200,$B6,Risques!$H$2:$H$200,F$4,Risques!$K$2:$K$200,"&lt;&gt;Clos")</f>
        <v/>
      </c>
      <c r="G6" s="11">
        <f>COUNTIFS(Risques!$G$2:$G$200,$B6,Risques!$H$2:$H$200,G$4,Risques!$K$2:$K$200,"&lt;&gt;Clos")</f>
        <v/>
      </c>
    </row>
    <row r="7" ht="38" customHeight="1">
      <c r="B7" s="8" t="n">
        <v>3</v>
      </c>
      <c r="C7" s="12">
        <f>COUNTIFS(Risques!$G$2:$G$200,$B7,Risques!$H$2:$H$200,C$4,Risques!$K$2:$K$200,"&lt;&gt;Clos")</f>
        <v/>
      </c>
      <c r="D7" s="9">
        <f>COUNTIFS(Risques!$G$2:$G$200,$B7,Risques!$H$2:$H$200,D$4,Risques!$K$2:$K$200,"&lt;&gt;Clos")</f>
        <v/>
      </c>
      <c r="E7" s="9">
        <f>COUNTIFS(Risques!$G$2:$G$200,$B7,Risques!$H$2:$H$200,E$4,Risques!$K$2:$K$200,"&lt;&gt;Clos")</f>
        <v/>
      </c>
      <c r="F7" s="10">
        <f>COUNTIFS(Risques!$G$2:$G$200,$B7,Risques!$H$2:$H$200,F$4,Risques!$K$2:$K$200,"&lt;&gt;Clos")</f>
        <v/>
      </c>
      <c r="G7" s="11">
        <f>COUNTIFS(Risques!$G$2:$G$200,$B7,Risques!$H$2:$H$200,G$4,Risques!$K$2:$K$200,"&lt;&gt;Clos")</f>
        <v/>
      </c>
    </row>
    <row r="8" ht="38" customHeight="1">
      <c r="B8" s="8" t="n">
        <v>2</v>
      </c>
      <c r="C8" s="12">
        <f>COUNTIFS(Risques!$G$2:$G$200,$B8,Risques!$H$2:$H$200,C$4,Risques!$K$2:$K$200,"&lt;&gt;Clos")</f>
        <v/>
      </c>
      <c r="D8" s="12">
        <f>COUNTIFS(Risques!$G$2:$G$200,$B8,Risques!$H$2:$H$200,D$4,Risques!$K$2:$K$200,"&lt;&gt;Clos")</f>
        <v/>
      </c>
      <c r="E8" s="9">
        <f>COUNTIFS(Risques!$G$2:$G$200,$B8,Risques!$H$2:$H$200,E$4,Risques!$K$2:$K$200,"&lt;&gt;Clos")</f>
        <v/>
      </c>
      <c r="F8" s="9">
        <f>COUNTIFS(Risques!$G$2:$G$200,$B8,Risques!$H$2:$H$200,F$4,Risques!$K$2:$K$200,"&lt;&gt;Clos")</f>
        <v/>
      </c>
      <c r="G8" s="10">
        <f>COUNTIFS(Risques!$G$2:$G$200,$B8,Risques!$H$2:$H$200,G$4,Risques!$K$2:$K$200,"&lt;&gt;Clos")</f>
        <v/>
      </c>
    </row>
    <row r="9" ht="38" customHeight="1">
      <c r="B9" s="8" t="n">
        <v>1</v>
      </c>
      <c r="C9" s="12">
        <f>COUNTIFS(Risques!$G$2:$G$200,$B9,Risques!$H$2:$H$200,C$4,Risques!$K$2:$K$200,"&lt;&gt;Clos")</f>
        <v/>
      </c>
      <c r="D9" s="12">
        <f>COUNTIFS(Risques!$G$2:$G$200,$B9,Risques!$H$2:$H$200,D$4,Risques!$K$2:$K$200,"&lt;&gt;Clos")</f>
        <v/>
      </c>
      <c r="E9" s="12">
        <f>COUNTIFS(Risques!$G$2:$G$200,$B9,Risques!$H$2:$H$200,E$4,Risques!$K$2:$K$200,"&lt;&gt;Clos")</f>
        <v/>
      </c>
      <c r="F9" s="12">
        <f>COUNTIFS(Risques!$G$2:$G$200,$B9,Risques!$H$2:$H$200,F$4,Risques!$K$2:$K$200,"&lt;&gt;Clos")</f>
        <v/>
      </c>
      <c r="G9" s="9">
        <f>COUNTIFS(Risques!$G$2:$G$200,$B9,Risques!$H$2:$H$200,G$4,Risques!$K$2:$K$200,"&lt;&gt;Clos")</f>
        <v/>
      </c>
    </row>
    <row r="11">
      <c r="A11" s="7" t="inlineStr">
        <is>
          <t>Total risques non clos :</t>
        </is>
      </c>
      <c r="C11" s="7">
        <f>SUM(C5:G9)</f>
        <v/>
      </c>
    </row>
  </sheetData>
  <conditionalFormatting sqref="C5:G9">
    <cfRule type="cellIs" priority="1" operator="equal" dxfId="5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Synthèse des risques</t>
        </is>
      </c>
    </row>
    <row r="3">
      <c r="A3" s="13" t="inlineStr">
        <is>
          <t>Indicateur</t>
        </is>
      </c>
      <c r="B3" s="13" t="inlineStr">
        <is>
          <t>Valeur</t>
        </is>
      </c>
    </row>
    <row r="4">
      <c r="A4" s="5" t="inlineStr">
        <is>
          <t>Nombre total de risques</t>
        </is>
      </c>
      <c r="B4" s="5">
        <f>COUNTA(Risques!A2:A200)</f>
        <v/>
      </c>
    </row>
    <row r="5">
      <c r="A5" s="5" t="inlineStr">
        <is>
          <t>Risques non clos</t>
        </is>
      </c>
      <c r="B5" s="5">
        <f>COUNTIFS(Risques!A2:A200,"&lt;&gt;",Risques!K2:K200,"&lt;&gt;Clos")</f>
        <v/>
      </c>
    </row>
    <row r="6">
      <c r="A6" s="5" t="inlineStr">
        <is>
          <t>Critiques (≥15)</t>
        </is>
      </c>
      <c r="B6" s="5">
        <f>COUNTIF(Risques!J2:J200,"Critique")</f>
        <v/>
      </c>
    </row>
    <row r="7">
      <c r="A7" s="5" t="inlineStr">
        <is>
          <t>Élevés (10-14)</t>
        </is>
      </c>
      <c r="B7" s="5">
        <f>COUNTIF(Risques!J2:J200,"Élevé")</f>
        <v/>
      </c>
    </row>
    <row r="8">
      <c r="A8" s="5" t="inlineStr">
        <is>
          <t>Modérés (5-9)</t>
        </is>
      </c>
      <c r="B8" s="5">
        <f>COUNTIF(Risques!J2:J200,"Modéré")</f>
        <v/>
      </c>
    </row>
    <row r="9">
      <c r="A9" s="5" t="inlineStr">
        <is>
          <t>Faibles (1-4)</t>
        </is>
      </c>
      <c r="B9" s="5">
        <f>COUNTIF(Risques!J2:J200,"Faible")</f>
        <v/>
      </c>
    </row>
    <row r="10">
      <c r="A10" s="5" t="inlineStr">
        <is>
          <t>Criticité moyenne</t>
        </is>
      </c>
      <c r="B10" s="14">
        <f>IFERROR(AVERAGE(Risques!I2:I200),0)</f>
        <v/>
      </c>
    </row>
    <row r="11">
      <c r="A11" s="5" t="inlineStr">
        <is>
          <t>Échéances dépassées (non clos)</t>
        </is>
      </c>
      <c r="B11" s="5">
        <f>COUNTIFS(Risques!M2:M200,"&lt;"&amp;TODAY(),Risques!K2:K200,"&lt;&gt;Clos")</f>
        <v/>
      </c>
    </row>
    <row r="12">
      <c r="A12" s="5" t="inlineStr">
        <is>
          <t>Statut : Ouvert</t>
        </is>
      </c>
      <c r="B12" s="5">
        <f>COUNTIF(Risques!K2:K200,"Ouvert")</f>
        <v/>
      </c>
    </row>
    <row r="13">
      <c r="A13" s="5" t="inlineStr">
        <is>
          <t>Statut : En traitement</t>
        </is>
      </c>
      <c r="B13" s="5">
        <f>COUNTIF(Risques!K2:K200,"En traitement")</f>
        <v/>
      </c>
    </row>
    <row r="14">
      <c r="A14" s="5" t="inlineStr">
        <is>
          <t>Statut : Clos</t>
        </is>
      </c>
      <c r="B14" s="5">
        <f>COUNTIF(Risques!K2:K200,"Clos")</f>
        <v/>
      </c>
    </row>
    <row r="15">
      <c r="A15" s="5" t="inlineStr">
        <is>
          <t>Catégorie : Technique</t>
        </is>
      </c>
      <c r="B15" s="5">
        <f>COUNTIF(Risques!E2:E200,"Technique")</f>
        <v/>
      </c>
    </row>
    <row r="16">
      <c r="A16" s="5" t="inlineStr">
        <is>
          <t>Catégorie : Planning</t>
        </is>
      </c>
      <c r="B16" s="5">
        <f>COUNTIF(Risques!E2:E200,"Planning")</f>
        <v/>
      </c>
    </row>
    <row r="17">
      <c r="A17" s="5" t="inlineStr">
        <is>
          <t>Catégorie : Financier</t>
        </is>
      </c>
      <c r="B17" s="5">
        <f>COUNTIF(Risques!E2:E200,"Financier")</f>
        <v/>
      </c>
    </row>
    <row r="18">
      <c r="A18" s="5" t="inlineStr">
        <is>
          <t>Catégorie : Ressources</t>
        </is>
      </c>
      <c r="B18" s="5">
        <f>COUNTIF(Risques!E2:E200,"Ressources")</f>
        <v/>
      </c>
    </row>
    <row r="19">
      <c r="A19" s="5" t="inlineStr">
        <is>
          <t>Catégorie : Fournisseur</t>
        </is>
      </c>
      <c r="B19" s="5">
        <f>COUNTIF(Risques!E2:E200,"Fournisseur")</f>
        <v/>
      </c>
    </row>
    <row r="20">
      <c r="A20" s="5" t="inlineStr">
        <is>
          <t>Catégorie : Juridique</t>
        </is>
      </c>
      <c r="B20" s="5">
        <f>COUNTIF(Risques!E2:E200,"Juridique")</f>
        <v/>
      </c>
    </row>
    <row r="21">
      <c r="A21" s="5" t="inlineStr">
        <is>
          <t>Catégorie : Qualité</t>
        </is>
      </c>
      <c r="B21" s="5">
        <f>COUNTIF(Risques!E2:E200,"Qualité")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2026-10-29T21:15:32Z</dcterms:created>
  <dcterms:modified xmlns:dcterms="http://purl.org/dc/terms/" xmlns:xsi="http://www.w3.org/2001/XMLSchema-instance" xsi:type="dcterms:W3CDTF">2026-10-29T21:15:32Z</dcterms:modified>
</cp:coreProperties>
</file>