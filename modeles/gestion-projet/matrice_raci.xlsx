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RA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2A44"/>
      <sz val="16"/>
    </font>
    <font>
      <name val="Calibri"/>
      <sz val="11"/>
    </font>
    <font>
      <name val="Calibri"/>
      <i val="1"/>
      <color rgb="002F6FED"/>
    </font>
    <font>
      <name val="Calibri"/>
      <b val="1"/>
      <color rgb="00FFFFFF"/>
    </font>
    <font>
      <name val="Calibri"/>
      <b val="1"/>
      <color rgb="001F2A44"/>
      <sz val="12"/>
    </font>
    <font>
      <name val="Calibri"/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BFC5D2"/>
      </left>
      <right style="thin">
        <color rgb="00BFC5D2"/>
      </right>
      <top style="thin">
        <color rgb="00BFC5D2"/>
      </top>
      <bottom style="thin">
        <color rgb="00BFC5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ont>
        <b val="1"/>
        <color rgb="002F6FED"/>
      </font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Matrice RACI — mode d'emploi</t>
        </is>
      </c>
    </row>
    <row r="3">
      <c r="A3" s="2" t="inlineStr">
        <is>
          <t>R = Réalise, A = Approuve (responsable final, un seul), C = Consulté, I = Informé.</t>
        </is>
      </c>
    </row>
    <row r="4">
      <c r="A4" s="2" t="inlineStr">
        <is>
          <t>1. Onglet « RACI » : saisissez les tâches en colonne B et les personnes en ligne 1 (colonnes C à H).</t>
        </is>
      </c>
    </row>
    <row r="5">
      <c r="A5" s="2" t="inlineStr">
        <is>
          <t>2. Dans chaque case, choisissez R, A, C ou I dans la liste déroulante.</t>
        </is>
      </c>
    </row>
    <row r="6">
      <c r="A6" s="2" t="inlineStr">
        <is>
          <t>3. Colonne « Contrôle » : OK si exactement un A et au moins un R ; sinon le problème est indiqué en rouge.</t>
        </is>
      </c>
    </row>
    <row r="7">
      <c r="A7" s="2" t="inlineStr">
        <is>
          <t>4. Lignes du bas : charge par personne (nombre de R, A, C, I et total).</t>
        </is>
      </c>
    </row>
    <row r="9">
      <c r="A9" s="3" t="inlineStr">
        <is>
          <t>Données d'exemple anonymisées : remplacez-les par les vôtres.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8" customWidth="1" min="9" max="9"/>
    <col width="8" customWidth="1" min="10" max="10"/>
    <col width="26" customWidth="1" min="11" max="11"/>
  </cols>
  <sheetData>
    <row r="1">
      <c r="A1" s="4" t="inlineStr">
        <is>
          <t>Lot / phase</t>
        </is>
      </c>
      <c r="B1" s="4" t="inlineStr">
        <is>
          <t>Tâche</t>
        </is>
      </c>
      <c r="C1" s="4" t="inlineStr">
        <is>
          <t>Personne A</t>
        </is>
      </c>
      <c r="D1" s="4" t="inlineStr">
        <is>
          <t>Personne B</t>
        </is>
      </c>
      <c r="E1" s="4" t="inlineStr">
        <is>
          <t>Personne C</t>
        </is>
      </c>
      <c r="F1" s="4" t="inlineStr">
        <is>
          <t>Personne D</t>
        </is>
      </c>
      <c r="G1" s="4" t="inlineStr">
        <is>
          <t>Personne E</t>
        </is>
      </c>
      <c r="H1" s="4" t="inlineStr">
        <is>
          <t>Personne F</t>
        </is>
      </c>
      <c r="I1" s="4" t="inlineStr">
        <is>
          <t>Nb A</t>
        </is>
      </c>
      <c r="J1" s="4" t="inlineStr">
        <is>
          <t>Nb R</t>
        </is>
      </c>
      <c r="K1" s="4" t="inlineStr">
        <is>
          <t>Contrôle</t>
        </is>
      </c>
    </row>
    <row r="2">
      <c r="A2" s="5" t="inlineStr">
        <is>
          <t>Cadrage</t>
        </is>
      </c>
      <c r="B2" s="5" t="inlineStr">
        <is>
          <t>Rédiger la note de cadrage</t>
        </is>
      </c>
      <c r="C2" s="5" t="inlineStr">
        <is>
          <t>A</t>
        </is>
      </c>
      <c r="D2" s="5" t="inlineStr">
        <is>
          <t>R</t>
        </is>
      </c>
      <c r="E2" s="5" t="inlineStr">
        <is>
          <t>C</t>
        </is>
      </c>
      <c r="F2" s="5" t="inlineStr">
        <is>
          <t>I</t>
        </is>
      </c>
      <c r="G2" s="5" t="n"/>
      <c r="H2" s="5" t="n"/>
      <c r="I2" s="5">
        <f>IF(B2="","",COUNTIF(C2:H2,"A"))</f>
        <v/>
      </c>
      <c r="J2" s="5">
        <f>IF(B2="","",COUNTIF(C2:H2,"R"))</f>
        <v/>
      </c>
      <c r="K2" s="5">
        <f>IF(B2="","",IF(AND(I2=1,J2&gt;=1),"OK",TRIM(IF(I2=0,"Aucun A ",IF(I2&gt;1,"Plusieurs A ",""))&amp;IF(J2=0,"Aucun R",""))))</f>
        <v/>
      </c>
    </row>
    <row r="3">
      <c r="A3" s="5" t="inlineStr">
        <is>
          <t>Cadrage</t>
        </is>
      </c>
      <c r="B3" s="5" t="inlineStr">
        <is>
          <t>Valider le budget</t>
        </is>
      </c>
      <c r="C3" s="5" t="inlineStr">
        <is>
          <t>A</t>
        </is>
      </c>
      <c r="D3" s="5" t="inlineStr">
        <is>
          <t>C</t>
        </is>
      </c>
      <c r="E3" s="5" t="n"/>
      <c r="F3" s="5" t="inlineStr">
        <is>
          <t>I</t>
        </is>
      </c>
      <c r="G3" s="5" t="n"/>
      <c r="H3" s="5" t="n"/>
      <c r="I3" s="5">
        <f>IF(B3="","",COUNTIF(C3:H3,"A"))</f>
        <v/>
      </c>
      <c r="J3" s="5">
        <f>IF(B3="","",COUNTIF(C3:H3,"R"))</f>
        <v/>
      </c>
      <c r="K3" s="5">
        <f>IF(B3="","",IF(AND(I3=1,J3&gt;=1),"OK",TRIM(IF(I3=0,"Aucun A ",IF(I3&gt;1,"Plusieurs A ",""))&amp;IF(J3=0,"Aucun R",""))))</f>
        <v/>
      </c>
    </row>
    <row r="4">
      <c r="A4" s="5" t="inlineStr">
        <is>
          <t>Conception</t>
        </is>
      </c>
      <c r="B4" s="5" t="inlineStr">
        <is>
          <t>Spécifications fonctionnelles</t>
        </is>
      </c>
      <c r="C4" s="5" t="inlineStr">
        <is>
          <t>I</t>
        </is>
      </c>
      <c r="D4" s="5" t="inlineStr">
        <is>
          <t>A</t>
        </is>
      </c>
      <c r="E4" s="5" t="inlineStr">
        <is>
          <t>R</t>
        </is>
      </c>
      <c r="F4" s="5" t="inlineStr">
        <is>
          <t>C</t>
        </is>
      </c>
      <c r="G4" s="5" t="inlineStr">
        <is>
          <t>C</t>
        </is>
      </c>
      <c r="H4" s="5" t="n"/>
      <c r="I4" s="5">
        <f>IF(B4="","",COUNTIF(C4:H4,"A"))</f>
        <v/>
      </c>
      <c r="J4" s="5">
        <f>IF(B4="","",COUNTIF(C4:H4,"R"))</f>
        <v/>
      </c>
      <c r="K4" s="5">
        <f>IF(B4="","",IF(AND(I4=1,J4&gt;=1),"OK",TRIM(IF(I4=0,"Aucun A ",IF(I4&gt;1,"Plusieurs A ",""))&amp;IF(J4=0,"Aucun R",""))))</f>
        <v/>
      </c>
    </row>
    <row r="5">
      <c r="A5" s="5" t="inlineStr">
        <is>
          <t>Conception</t>
        </is>
      </c>
      <c r="B5" s="5" t="inlineStr">
        <is>
          <t>Revue d'architecture</t>
        </is>
      </c>
      <c r="C5" s="5" t="n"/>
      <c r="D5" s="5" t="inlineStr">
        <is>
          <t>A</t>
        </is>
      </c>
      <c r="E5" s="5" t="inlineStr">
        <is>
          <t>R</t>
        </is>
      </c>
      <c r="F5" s="5" t="inlineStr">
        <is>
          <t>R</t>
        </is>
      </c>
      <c r="G5" s="5" t="inlineStr">
        <is>
          <t>A</t>
        </is>
      </c>
      <c r="H5" s="5" t="inlineStr">
        <is>
          <t>I</t>
        </is>
      </c>
      <c r="I5" s="5">
        <f>IF(B5="","",COUNTIF(C5:H5,"A"))</f>
        <v/>
      </c>
      <c r="J5" s="5">
        <f>IF(B5="","",COUNTIF(C5:H5,"R"))</f>
        <v/>
      </c>
      <c r="K5" s="5">
        <f>IF(B5="","",IF(AND(I5=1,J5&gt;=1),"OK",TRIM(IF(I5=0,"Aucun A ",IF(I5&gt;1,"Plusieurs A ",""))&amp;IF(J5=0,"Aucun R",""))))</f>
        <v/>
      </c>
    </row>
    <row r="6">
      <c r="A6" s="5" t="inlineStr">
        <is>
          <t>Réalisation</t>
        </is>
      </c>
      <c r="B6" s="5" t="inlineStr">
        <is>
          <t>Développement lot 1</t>
        </is>
      </c>
      <c r="C6" s="5" t="inlineStr">
        <is>
          <t>I</t>
        </is>
      </c>
      <c r="D6" s="5" t="n"/>
      <c r="E6" s="5" t="inlineStr">
        <is>
          <t>A</t>
        </is>
      </c>
      <c r="F6" s="5" t="inlineStr">
        <is>
          <t>R</t>
        </is>
      </c>
      <c r="G6" s="5" t="inlineStr">
        <is>
          <t>R</t>
        </is>
      </c>
      <c r="H6" s="5" t="n"/>
      <c r="I6" s="5">
        <f>IF(B6="","",COUNTIF(C6:H6,"A"))</f>
        <v/>
      </c>
      <c r="J6" s="5">
        <f>IF(B6="","",COUNTIF(C6:H6,"R"))</f>
        <v/>
      </c>
      <c r="K6" s="5">
        <f>IF(B6="","",IF(AND(I6=1,J6&gt;=1),"OK",TRIM(IF(I6=0,"Aucun A ",IF(I6&gt;1,"Plusieurs A ",""))&amp;IF(J6=0,"Aucun R",""))))</f>
        <v/>
      </c>
    </row>
    <row r="7">
      <c r="A7" s="5" t="inlineStr">
        <is>
          <t>Recette</t>
        </is>
      </c>
      <c r="B7" s="5" t="inlineStr">
        <is>
          <t>Plan de recette</t>
        </is>
      </c>
      <c r="C7" s="5" t="inlineStr">
        <is>
          <t>C</t>
        </is>
      </c>
      <c r="D7" s="5" t="n"/>
      <c r="E7" s="5" t="inlineStr">
        <is>
          <t>I</t>
        </is>
      </c>
      <c r="F7" s="5" t="n"/>
      <c r="G7" s="5" t="n"/>
      <c r="H7" s="5" t="inlineStr">
        <is>
          <t>R</t>
        </is>
      </c>
      <c r="I7" s="5">
        <f>IF(B7="","",COUNTIF(C7:H7,"A"))</f>
        <v/>
      </c>
      <c r="J7" s="5">
        <f>IF(B7="","",COUNTIF(C7:H7,"R"))</f>
        <v/>
      </c>
      <c r="K7" s="5">
        <f>IF(B7="","",IF(AND(I7=1,J7&gt;=1),"OK",TRIM(IF(I7=0,"Aucun A ",IF(I7&gt;1,"Plusieurs A ",""))&amp;IF(J7=0,"Aucun R",""))))</f>
        <v/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>
        <f>IF(B8="","",COUNTIF(C8:H8,"A"))</f>
        <v/>
      </c>
      <c r="J8" s="5">
        <f>IF(B8="","",COUNTIF(C8:H8,"R"))</f>
        <v/>
      </c>
      <c r="K8" s="5">
        <f>IF(B8="","",IF(AND(I8=1,J8&gt;=1),"OK",TRIM(IF(I8=0,"Aucun A ",IF(I8&gt;1,"Plusieurs A ",""))&amp;IF(J8=0,"Aucun R",""))))</f>
        <v/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>
        <f>IF(B9="","",COUNTIF(C9:H9,"A"))</f>
        <v/>
      </c>
      <c r="J9" s="5">
        <f>IF(B9="","",COUNTIF(C9:H9,"R"))</f>
        <v/>
      </c>
      <c r="K9" s="5">
        <f>IF(B9="","",IF(AND(I9=1,J9&gt;=1),"OK",TRIM(IF(I9=0,"Aucun A ",IF(I9&gt;1,"Plusieurs A ",""))&amp;IF(J9=0,"Aucun R",""))))</f>
        <v/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>
        <f>IF(B10="","",COUNTIF(C10:H10,"A"))</f>
        <v/>
      </c>
      <c r="J10" s="5">
        <f>IF(B10="","",COUNTIF(C10:H10,"R"))</f>
        <v/>
      </c>
      <c r="K10" s="5">
        <f>IF(B10="","",IF(AND(I10=1,J10&gt;=1),"OK",TRIM(IF(I10=0,"Aucun A ",IF(I10&gt;1,"Plusieurs A ",""))&amp;IF(J10=0,"Aucun R",""))))</f>
        <v/>
      </c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>
        <f>IF(B11="","",COUNTIF(C11:H11,"A"))</f>
        <v/>
      </c>
      <c r="J11" s="5">
        <f>IF(B11="","",COUNTIF(C11:H11,"R"))</f>
        <v/>
      </c>
      <c r="K11" s="5">
        <f>IF(B11="","",IF(AND(I11=1,J11&gt;=1),"OK",TRIM(IF(I11=0,"Aucun A ",IF(I11&gt;1,"Plusieurs A ",""))&amp;IF(J11=0,"Aucun R",""))))</f>
        <v/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>
        <f>IF(B12="","",COUNTIF(C12:H12,"A"))</f>
        <v/>
      </c>
      <c r="J12" s="5">
        <f>IF(B12="","",COUNTIF(C12:H12,"R"))</f>
        <v/>
      </c>
      <c r="K12" s="5">
        <f>IF(B12="","",IF(AND(I12=1,J12&gt;=1),"OK",TRIM(IF(I12=0,"Aucun A ",IF(I12&gt;1,"Plusieurs A ",""))&amp;IF(J12=0,"Aucun R",""))))</f>
        <v/>
      </c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>
        <f>IF(B13="","",COUNTIF(C13:H13,"A"))</f>
        <v/>
      </c>
      <c r="J13" s="5">
        <f>IF(B13="","",COUNTIF(C13:H13,"R"))</f>
        <v/>
      </c>
      <c r="K13" s="5">
        <f>IF(B13="","",IF(AND(I13=1,J13&gt;=1),"OK",TRIM(IF(I13=0,"Aucun A ",IF(I13&gt;1,"Plusieurs A ",""))&amp;IF(J13=0,"Aucun R",""))))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>
        <f>IF(B14="","",COUNTIF(C14:H14,"A"))</f>
        <v/>
      </c>
      <c r="J14" s="5">
        <f>IF(B14="","",COUNTIF(C14:H14,"R"))</f>
        <v/>
      </c>
      <c r="K14" s="5">
        <f>IF(B14="","",IF(AND(I14=1,J14&gt;=1),"OK",TRIM(IF(I14=0,"Aucun A ",IF(I14&gt;1,"Plusieurs A ",""))&amp;IF(J14=0,"Aucun R",""))))</f>
        <v/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>
        <f>IF(B15="","",COUNTIF(C15:H15,"A"))</f>
        <v/>
      </c>
      <c r="J15" s="5">
        <f>IF(B15="","",COUNTIF(C15:H15,"R"))</f>
        <v/>
      </c>
      <c r="K15" s="5">
        <f>IF(B15="","",IF(AND(I15=1,J15&gt;=1),"OK",TRIM(IF(I15=0,"Aucun A ",IF(I15&gt;1,"Plusieurs A ",""))&amp;IF(J15=0,"Aucun R",""))))</f>
        <v/>
      </c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>
        <f>IF(B16="","",COUNTIF(C16:H16,"A"))</f>
        <v/>
      </c>
      <c r="J16" s="5">
        <f>IF(B16="","",COUNTIF(C16:H16,"R"))</f>
        <v/>
      </c>
      <c r="K16" s="5">
        <f>IF(B16="","",IF(AND(I16=1,J16&gt;=1),"OK",TRIM(IF(I16=0,"Aucun A ",IF(I16&gt;1,"Plusieurs A ",""))&amp;IF(J16=0,"Aucun R",""))))</f>
        <v/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>
        <f>IF(B17="","",COUNTIF(C17:H17,"A"))</f>
        <v/>
      </c>
      <c r="J17" s="5">
        <f>IF(B17="","",COUNTIF(C17:H17,"R"))</f>
        <v/>
      </c>
      <c r="K17" s="5">
        <f>IF(B17="","",IF(AND(I17=1,J17&gt;=1),"OK",TRIM(IF(I17=0,"Aucun A ",IF(I17&gt;1,"Plusieurs A ",""))&amp;IF(J17=0,"Aucun R",""))))</f>
        <v/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>
        <f>IF(B18="","",COUNTIF(C18:H18,"A"))</f>
        <v/>
      </c>
      <c r="J18" s="5">
        <f>IF(B18="","",COUNTIF(C18:H18,"R"))</f>
        <v/>
      </c>
      <c r="K18" s="5">
        <f>IF(B18="","",IF(AND(I18=1,J18&gt;=1),"OK",TRIM(IF(I18=0,"Aucun A ",IF(I18&gt;1,"Plusieurs A ",""))&amp;IF(J18=0,"Aucun R",""))))</f>
        <v/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>
        <f>IF(B19="","",COUNTIF(C19:H19,"A"))</f>
        <v/>
      </c>
      <c r="J19" s="5">
        <f>IF(B19="","",COUNTIF(C19:H19,"R"))</f>
        <v/>
      </c>
      <c r="K19" s="5">
        <f>IF(B19="","",IF(AND(I19=1,J19&gt;=1),"OK",TRIM(IF(I19=0,"Aucun A ",IF(I19&gt;1,"Plusieurs A ",""))&amp;IF(J19=0,"Aucun R",""))))</f>
        <v/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>
        <f>IF(B20="","",COUNTIF(C20:H20,"A"))</f>
        <v/>
      </c>
      <c r="J20" s="5">
        <f>IF(B20="","",COUNTIF(C20:H20,"R"))</f>
        <v/>
      </c>
      <c r="K20" s="5">
        <f>IF(B20="","",IF(AND(I20=1,J20&gt;=1),"OK",TRIM(IF(I20=0,"Aucun A ",IF(I20&gt;1,"Plusieurs A ",""))&amp;IF(J20=0,"Aucun R",""))))</f>
        <v/>
      </c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>
        <f>IF(B21="","",COUNTIF(C21:H21,"A"))</f>
        <v/>
      </c>
      <c r="J21" s="5">
        <f>IF(B21="","",COUNTIF(C21:H21,"R"))</f>
        <v/>
      </c>
      <c r="K21" s="5">
        <f>IF(B21="","",IF(AND(I21=1,J21&gt;=1),"OK",TRIM(IF(I21=0,"Aucun A ",IF(I21&gt;1,"Plusieurs A ",""))&amp;IF(J21=0,"Aucun R",""))))</f>
        <v/>
      </c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>
        <f>IF(B22="","",COUNTIF(C22:H22,"A"))</f>
        <v/>
      </c>
      <c r="J22" s="5">
        <f>IF(B22="","",COUNTIF(C22:H22,"R"))</f>
        <v/>
      </c>
      <c r="K22" s="5">
        <f>IF(B22="","",IF(AND(I22=1,J22&gt;=1),"OK",TRIM(IF(I22=0,"Aucun A ",IF(I22&gt;1,"Plusieurs A ",""))&amp;IF(J22=0,"Aucun R",""))))</f>
        <v/>
      </c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>
        <f>IF(B23="","",COUNTIF(C23:H23,"A"))</f>
        <v/>
      </c>
      <c r="J23" s="5">
        <f>IF(B23="","",COUNTIF(C23:H23,"R"))</f>
        <v/>
      </c>
      <c r="K23" s="5">
        <f>IF(B23="","",IF(AND(I23=1,J23&gt;=1),"OK",TRIM(IF(I23=0,"Aucun A ",IF(I23&gt;1,"Plusieurs A ",""))&amp;IF(J23=0,"Aucun R",""))))</f>
        <v/>
      </c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>
        <f>IF(B24="","",COUNTIF(C24:H24,"A"))</f>
        <v/>
      </c>
      <c r="J24" s="5">
        <f>IF(B24="","",COUNTIF(C24:H24,"R"))</f>
        <v/>
      </c>
      <c r="K24" s="5">
        <f>IF(B24="","",IF(AND(I24=1,J24&gt;=1),"OK",TRIM(IF(I24=0,"Aucun A ",IF(I24&gt;1,"Plusieurs A ",""))&amp;IF(J24=0,"Aucun R",""))))</f>
        <v/>
      </c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>
        <f>IF(B25="","",COUNTIF(C25:H25,"A"))</f>
        <v/>
      </c>
      <c r="J25" s="5">
        <f>IF(B25="","",COUNTIF(C25:H25,"R"))</f>
        <v/>
      </c>
      <c r="K25" s="5">
        <f>IF(B25="","",IF(AND(I25=1,J25&gt;=1),"OK",TRIM(IF(I25=0,"Aucun A ",IF(I25&gt;1,"Plusieurs A ",""))&amp;IF(J25=0,"Aucun R",""))))</f>
        <v/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>
        <f>IF(B26="","",COUNTIF(C26:H26,"A"))</f>
        <v/>
      </c>
      <c r="J26" s="5">
        <f>IF(B26="","",COUNTIF(C26:H26,"R"))</f>
        <v/>
      </c>
      <c r="K26" s="5">
        <f>IF(B26="","",IF(AND(I26=1,J26&gt;=1),"OK",TRIM(IF(I26=0,"Aucun A ",IF(I26&gt;1,"Plusieurs A ",""))&amp;IF(J26=0,"Aucun R",""))))</f>
        <v/>
      </c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>
        <f>IF(B27="","",COUNTIF(C27:H27,"A"))</f>
        <v/>
      </c>
      <c r="J27" s="5">
        <f>IF(B27="","",COUNTIF(C27:H27,"R"))</f>
        <v/>
      </c>
      <c r="K27" s="5">
        <f>IF(B27="","",IF(AND(I27=1,J27&gt;=1),"OK",TRIM(IF(I27=0,"Aucun A ",IF(I27&gt;1,"Plusieurs A ",""))&amp;IF(J27=0,"Aucun R",""))))</f>
        <v/>
      </c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>
        <f>IF(B28="","",COUNTIF(C28:H28,"A"))</f>
        <v/>
      </c>
      <c r="J28" s="5">
        <f>IF(B28="","",COUNTIF(C28:H28,"R"))</f>
        <v/>
      </c>
      <c r="K28" s="5">
        <f>IF(B28="","",IF(AND(I28=1,J28&gt;=1),"OK",TRIM(IF(I28=0,"Aucun A ",IF(I28&gt;1,"Plusieurs A ",""))&amp;IF(J28=0,"Aucun R",""))))</f>
        <v/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>
        <f>IF(B29="","",COUNTIF(C29:H29,"A"))</f>
        <v/>
      </c>
      <c r="J29" s="5">
        <f>IF(B29="","",COUNTIF(C29:H29,"R"))</f>
        <v/>
      </c>
      <c r="K29" s="5">
        <f>IF(B29="","",IF(AND(I29=1,J29&gt;=1),"OK",TRIM(IF(I29=0,"Aucun A ",IF(I29&gt;1,"Plusieurs A ",""))&amp;IF(J29=0,"Aucun R",""))))</f>
        <v/>
      </c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>
        <f>IF(B30="","",COUNTIF(C30:H30,"A"))</f>
        <v/>
      </c>
      <c r="J30" s="5">
        <f>IF(B30="","",COUNTIF(C30:H30,"R"))</f>
        <v/>
      </c>
      <c r="K30" s="5">
        <f>IF(B30="","",IF(AND(I30=1,J30&gt;=1),"OK",TRIM(IF(I30=0,"Aucun A ",IF(I30&gt;1,"Plusieurs A ",""))&amp;IF(J30=0,"Aucun R",""))))</f>
        <v/>
      </c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>
        <f>IF(B31="","",COUNTIF(C31:H31,"A"))</f>
        <v/>
      </c>
      <c r="J31" s="5">
        <f>IF(B31="","",COUNTIF(C31:H31,"R"))</f>
        <v/>
      </c>
      <c r="K31" s="5">
        <f>IF(B31="","",IF(AND(I31=1,J31&gt;=1),"OK",TRIM(IF(I31=0,"Aucun A ",IF(I31&gt;1,"Plusieurs A ",""))&amp;IF(J31=0,"Aucun R",""))))</f>
        <v/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>
        <f>IF(B32="","",COUNTIF(C32:H32,"A"))</f>
        <v/>
      </c>
      <c r="J32" s="5">
        <f>IF(B32="","",COUNTIF(C32:H32,"R"))</f>
        <v/>
      </c>
      <c r="K32" s="5">
        <f>IF(B32="","",IF(AND(I32=1,J32&gt;=1),"OK",TRIM(IF(I32=0,"Aucun A ",IF(I32&gt;1,"Plusieurs A ",""))&amp;IF(J32=0,"Aucun R",""))))</f>
        <v/>
      </c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>
        <f>IF(B33="","",COUNTIF(C33:H33,"A"))</f>
        <v/>
      </c>
      <c r="J33" s="5">
        <f>IF(B33="","",COUNTIF(C33:H33,"R"))</f>
        <v/>
      </c>
      <c r="K33" s="5">
        <f>IF(B33="","",IF(AND(I33=1,J33&gt;=1),"OK",TRIM(IF(I33=0,"Aucun A ",IF(I33&gt;1,"Plusieurs A ",""))&amp;IF(J33=0,"Aucun R",""))))</f>
        <v/>
      </c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>
        <f>IF(B34="","",COUNTIF(C34:H34,"A"))</f>
        <v/>
      </c>
      <c r="J34" s="5">
        <f>IF(B34="","",COUNTIF(C34:H34,"R"))</f>
        <v/>
      </c>
      <c r="K34" s="5">
        <f>IF(B34="","",IF(AND(I34=1,J34&gt;=1),"OK",TRIM(IF(I34=0,"Aucun A ",IF(I34&gt;1,"Plusieurs A ",""))&amp;IF(J34=0,"Aucun R",""))))</f>
        <v/>
      </c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>
        <f>IF(B35="","",COUNTIF(C35:H35,"A"))</f>
        <v/>
      </c>
      <c r="J35" s="5">
        <f>IF(B35="","",COUNTIF(C35:H35,"R"))</f>
        <v/>
      </c>
      <c r="K35" s="5">
        <f>IF(B35="","",IF(AND(I35=1,J35&gt;=1),"OK",TRIM(IF(I35=0,"Aucun A ",IF(I35&gt;1,"Plusieurs A ",""))&amp;IF(J35=0,"Aucun R",""))))</f>
        <v/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>
        <f>IF(B36="","",COUNTIF(C36:H36,"A"))</f>
        <v/>
      </c>
      <c r="J36" s="5">
        <f>IF(B36="","",COUNTIF(C36:H36,"R"))</f>
        <v/>
      </c>
      <c r="K36" s="5">
        <f>IF(B36="","",IF(AND(I36=1,J36&gt;=1),"OK",TRIM(IF(I36=0,"Aucun A ",IF(I36&gt;1,"Plusieurs A ",""))&amp;IF(J36=0,"Aucun R",""))))</f>
        <v/>
      </c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>
        <f>IF(B37="","",COUNTIF(C37:H37,"A"))</f>
        <v/>
      </c>
      <c r="J37" s="5">
        <f>IF(B37="","",COUNTIF(C37:H37,"R"))</f>
        <v/>
      </c>
      <c r="K37" s="5">
        <f>IF(B37="","",IF(AND(I37=1,J37&gt;=1),"OK",TRIM(IF(I37=0,"Aucun A ",IF(I37&gt;1,"Plusieurs A ",""))&amp;IF(J37=0,"Aucun R",""))))</f>
        <v/>
      </c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>
        <f>IF(B38="","",COUNTIF(C38:H38,"A"))</f>
        <v/>
      </c>
      <c r="J38" s="5">
        <f>IF(B38="","",COUNTIF(C38:H38,"R"))</f>
        <v/>
      </c>
      <c r="K38" s="5">
        <f>IF(B38="","",IF(AND(I38=1,J38&gt;=1),"OK",TRIM(IF(I38=0,"Aucun A ",IF(I38&gt;1,"Plusieurs A ",""))&amp;IF(J38=0,"Aucun R",""))))</f>
        <v/>
      </c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>
        <f>IF(B39="","",COUNTIF(C39:H39,"A"))</f>
        <v/>
      </c>
      <c r="J39" s="5">
        <f>IF(B39="","",COUNTIF(C39:H39,"R"))</f>
        <v/>
      </c>
      <c r="K39" s="5">
        <f>IF(B39="","",IF(AND(I39=1,J39&gt;=1),"OK",TRIM(IF(I39=0,"Aucun A ",IF(I39&gt;1,"Plusieurs A ",""))&amp;IF(J39=0,"Aucun R",""))))</f>
        <v/>
      </c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>
        <f>IF(B40="","",COUNTIF(C40:H40,"A"))</f>
        <v/>
      </c>
      <c r="J40" s="5">
        <f>IF(B40="","",COUNTIF(C40:H40,"R"))</f>
        <v/>
      </c>
      <c r="K40" s="5">
        <f>IF(B40="","",IF(AND(I40=1,J40&gt;=1),"OK",TRIM(IF(I40=0,"Aucun A ",IF(I40&gt;1,"Plusieurs A ",""))&amp;IF(J40=0,"Aucun R",""))))</f>
        <v/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>
        <f>IF(B41="","",COUNTIF(C41:H41,"A"))</f>
        <v/>
      </c>
      <c r="J41" s="5">
        <f>IF(B41="","",COUNTIF(C41:H41,"R"))</f>
        <v/>
      </c>
      <c r="K41" s="5">
        <f>IF(B41="","",IF(AND(I41=1,J41&gt;=1),"OK",TRIM(IF(I41=0,"Aucun A ",IF(I41&gt;1,"Plusieurs A ",""))&amp;IF(J41=0,"Aucun R",""))))</f>
        <v/>
      </c>
    </row>
    <row r="43">
      <c r="B43" s="6" t="inlineStr">
        <is>
          <t>Charge par personne</t>
        </is>
      </c>
    </row>
    <row r="44">
      <c r="B44" s="7" t="inlineStr">
        <is>
          <t>Nombre de R</t>
        </is>
      </c>
      <c r="C44" s="8">
        <f>COUNTIF(C$2:C$41,"R")</f>
        <v/>
      </c>
      <c r="D44" s="8">
        <f>COUNTIF(D$2:D$41,"R")</f>
        <v/>
      </c>
      <c r="E44" s="8">
        <f>COUNTIF(E$2:E$41,"R")</f>
        <v/>
      </c>
      <c r="F44" s="8">
        <f>COUNTIF(F$2:F$41,"R")</f>
        <v/>
      </c>
      <c r="G44" s="8">
        <f>COUNTIF(G$2:G$41,"R")</f>
        <v/>
      </c>
      <c r="H44" s="8">
        <f>COUNTIF(H$2:H$41,"R")</f>
        <v/>
      </c>
    </row>
    <row r="45">
      <c r="B45" s="7" t="inlineStr">
        <is>
          <t>Nombre de A</t>
        </is>
      </c>
      <c r="C45" s="8">
        <f>COUNTIF(C$2:C$41,"A")</f>
        <v/>
      </c>
      <c r="D45" s="8">
        <f>COUNTIF(D$2:D$41,"A")</f>
        <v/>
      </c>
      <c r="E45" s="8">
        <f>COUNTIF(E$2:E$41,"A")</f>
        <v/>
      </c>
      <c r="F45" s="8">
        <f>COUNTIF(F$2:F$41,"A")</f>
        <v/>
      </c>
      <c r="G45" s="8">
        <f>COUNTIF(G$2:G$41,"A")</f>
        <v/>
      </c>
      <c r="H45" s="8">
        <f>COUNTIF(H$2:H$41,"A")</f>
        <v/>
      </c>
    </row>
    <row r="46">
      <c r="B46" s="7" t="inlineStr">
        <is>
          <t>Nombre de C</t>
        </is>
      </c>
      <c r="C46" s="8">
        <f>COUNTIF(C$2:C$41,"C")</f>
        <v/>
      </c>
      <c r="D46" s="8">
        <f>COUNTIF(D$2:D$41,"C")</f>
        <v/>
      </c>
      <c r="E46" s="8">
        <f>COUNTIF(E$2:E$41,"C")</f>
        <v/>
      </c>
      <c r="F46" s="8">
        <f>COUNTIF(F$2:F$41,"C")</f>
        <v/>
      </c>
      <c r="G46" s="8">
        <f>COUNTIF(G$2:G$41,"C")</f>
        <v/>
      </c>
      <c r="H46" s="8">
        <f>COUNTIF(H$2:H$41,"C")</f>
        <v/>
      </c>
    </row>
    <row r="47">
      <c r="B47" s="7" t="inlineStr">
        <is>
          <t>Nombre de I</t>
        </is>
      </c>
      <c r="C47" s="8">
        <f>COUNTIF(C$2:C$41,"I")</f>
        <v/>
      </c>
      <c r="D47" s="8">
        <f>COUNTIF(D$2:D$41,"I")</f>
        <v/>
      </c>
      <c r="E47" s="8">
        <f>COUNTIF(E$2:E$41,"I")</f>
        <v/>
      </c>
      <c r="F47" s="8">
        <f>COUNTIF(F$2:F$41,"I")</f>
        <v/>
      </c>
      <c r="G47" s="8">
        <f>COUNTIF(G$2:G$41,"I")</f>
        <v/>
      </c>
      <c r="H47" s="8">
        <f>COUNTIF(H$2:H$41,"I")</f>
        <v/>
      </c>
    </row>
    <row r="48">
      <c r="B48" s="7" t="inlineStr">
        <is>
          <t>Total implications</t>
        </is>
      </c>
      <c r="C48" s="9">
        <f>SUM(C44:C47)</f>
        <v/>
      </c>
      <c r="D48" s="9">
        <f>SUM(D44:D47)</f>
        <v/>
      </c>
      <c r="E48" s="9">
        <f>SUM(E44:E47)</f>
        <v/>
      </c>
      <c r="F48" s="9">
        <f>SUM(F44:F47)</f>
        <v/>
      </c>
      <c r="G48" s="9">
        <f>SUM(G44:G47)</f>
        <v/>
      </c>
      <c r="H48" s="9">
        <f>SUM(H44:H47)</f>
        <v/>
      </c>
    </row>
  </sheetData>
  <conditionalFormatting sqref="K2:K41">
    <cfRule type="expression" priority="1" dxfId="0">
      <formula>$K2="OK"</formula>
    </cfRule>
  </conditionalFormatting>
  <conditionalFormatting sqref="A2:K41">
    <cfRule type="expression" priority="2" dxfId="1">
      <formula>AND($B2&lt;&gt;"",$K2&lt;&gt;"OK")</formula>
    </cfRule>
  </conditionalFormatting>
  <conditionalFormatting sqref="C2:H41">
    <cfRule type="cellIs" priority="3" operator="equal" dxfId="2">
      <formula>"A"</formula>
    </cfRule>
  </conditionalFormatting>
  <conditionalFormatting sqref="C48:H48">
    <cfRule type="expression" priority="4" dxfId="3">
      <formula>C48=MAX($C$48:$H$48)</formula>
    </cfRule>
  </conditionalFormatting>
  <dataValidations count="1">
    <dataValidation sqref="C2:H41" showDropDown="0" showInputMessage="0" showErrorMessage="0" allowBlank="1" errorTitle="Valeur invalide" error="Choisissez une valeur dans la liste." prompt="R, A, C ou I" type="list">
      <formula1>"R,A,C,I"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2026-10-29T21:15:32Z</dcterms:created>
  <dcterms:modified xmlns:dcterms="http://purl.org/dc/terms/" xmlns:xsi="http://www.w3.org/2001/XMLSchema-instance" xsi:type="dcterms:W3CDTF">2026-10-29T21:15:32Z</dcterms:modified>
</cp:coreProperties>
</file>