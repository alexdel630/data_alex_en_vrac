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Équipe" sheetId="2" state="visible" r:id="rId4"/>
    <sheet name="Projets" sheetId="3" state="visible" r:id="rId5"/>
    <sheet name="Financement" sheetId="4" state="visible" r:id="rId6"/>
    <sheet name="Répartition" sheetId="5" state="visible" r:id="rId7"/>
    <sheet name="Pointage" sheetId="6" state="visible" r:id="rId8"/>
    <sheet name="Suiv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<sst xmlns="http://schemas.openxmlformats.org/spreadsheetml/2006/main" count="242" uniqueCount="135">
  <si>
    <t xml:space="preserve">Planning — Diagramme de Gantt (charge en heures)</t>
  </si>
  <si>
    <t xml:space="preserve">Planning de 09/2026 à 02/2028. Cellules jaunes pâles = saisie ; une cellule mois &gt; 0 colore la barre. Ajouter une tâche = remplir une ligne vide ; ajouter un projet, une personne ou une source = onglets dédiés.</t>
  </si>
  <si>
    <t xml:space="preserve">Lot</t>
  </si>
  <si>
    <t xml:space="preserve">Projet</t>
  </si>
  <si>
    <t xml:space="preserve">Tâche</t>
  </si>
  <si>
    <t xml:space="preserve">Responsable</t>
  </si>
  <si>
    <t xml:space="preserve">Statut</t>
  </si>
  <si>
    <t xml:space="preserve">Financement</t>
  </si>
  <si>
    <t xml:space="preserve">Charge</t>
  </si>
  <si>
    <t xml:space="preserve">Début</t>
  </si>
  <si>
    <t xml:space="preserve">Fin</t>
  </si>
  <si>
    <t xml:space="preserve">Avancement</t>
  </si>
  <si>
    <t xml:space="preserve">Tâches</t>
  </si>
  <si>
    <t xml:space="preserve">Heures</t>
  </si>
  <si>
    <t xml:space="preserve">Lot 1</t>
  </si>
  <si>
    <t xml:space="preserve">Projet A</t>
  </si>
  <si>
    <t xml:space="preserve">Conception d'actifs 3D</t>
  </si>
  <si>
    <t xml:space="preserve">Personne A</t>
  </si>
  <si>
    <t xml:space="preserve">En cours</t>
  </si>
  <si>
    <t xml:space="preserve">Non commencé</t>
  </si>
  <si>
    <t xml:space="preserve">Lot 5</t>
  </si>
  <si>
    <t xml:space="preserve">Modélisation système</t>
  </si>
  <si>
    <t xml:space="preserve">Lot 2</t>
  </si>
  <si>
    <t xml:space="preserve">Projet B</t>
  </si>
  <si>
    <t xml:space="preserve">Intégration technique</t>
  </si>
  <si>
    <t xml:space="preserve">Personne B</t>
  </si>
  <si>
    <t xml:space="preserve">Réalisé</t>
  </si>
  <si>
    <t xml:space="preserve">Lot 3</t>
  </si>
  <si>
    <t xml:space="preserve">Configuration scénarios</t>
  </si>
  <si>
    <t xml:space="preserve">% réalisé (h)</t>
  </si>
  <si>
    <t xml:space="preserve">Lot 4</t>
  </si>
  <si>
    <t xml:space="preserve">Préparation livraison</t>
  </si>
  <si>
    <t xml:space="preserve">TOTAL</t>
  </si>
  <si>
    <t xml:space="preserve">Jalons &amp; livrables</t>
  </si>
  <si>
    <t xml:space="preserve">Type</t>
  </si>
  <si>
    <t xml:space="preserve">Intitulé</t>
  </si>
  <si>
    <t xml:space="preserve">Échéance</t>
  </si>
  <si>
    <t xml:space="preserve">Commentaire</t>
  </si>
  <si>
    <t xml:space="preserve">Jalon</t>
  </si>
  <si>
    <t xml:space="preserve">Revue de conception</t>
  </si>
  <si>
    <t xml:space="preserve">Interne</t>
  </si>
  <si>
    <t xml:space="preserve">Livrable</t>
  </si>
  <si>
    <t xml:space="preserve">Dossier de livraison</t>
  </si>
  <si>
    <t xml:space="preserve">Client A</t>
  </si>
  <si>
    <t xml:space="preserve">Légende : ◆ jalon  ▲ livrable  ● revue — vert = réalisé. Case de tâche encadrée = jalon/livrable du même lot ce mois-là. Statuts : gris non commencé, orange en cours, vert réalisé.</t>
  </si>
  <si>
    <t xml:space="preserve">Équipe — charge par personne (h)</t>
  </si>
  <si>
    <t xml:space="preserve">Personne</t>
  </si>
  <si>
    <t xml:space="preserve">Rôle</t>
  </si>
  <si>
    <t xml:space="preserve">Charge totale</t>
  </si>
  <si>
    <t xml:space="preserve">Architecte / modélisation</t>
  </si>
  <si>
    <t xml:space="preserve">Développeur intégration</t>
  </si>
  <si>
    <t xml:space="preserve">TOTAL affecté</t>
  </si>
  <si>
    <t xml:space="preserve">Non affecté</t>
  </si>
  <si>
    <t xml:space="preserve">Ajouter une personne = écrire son nom sur une ligne libre (colonne A) ; elle apparaît aussitôt dans les listes « Responsable ». Rouge = plus de 160 h dans le mois.</t>
  </si>
  <si>
    <t xml:space="preserve">Projets</t>
  </si>
  <si>
    <t xml:space="preserve">Client / maîtrise d'ouvrage</t>
  </si>
  <si>
    <t xml:space="preserve">Charge (h)</t>
  </si>
  <si>
    <t xml:space="preserve">Réalisé (h)</t>
  </si>
  <si>
    <t xml:space="preserve">% réalisé</t>
  </si>
  <si>
    <t xml:space="preserve">Interne R&amp;D</t>
  </si>
  <si>
    <t xml:space="preserve">Sans projet</t>
  </si>
  <si>
    <t xml:space="preserve">Saisir les projets en colonne A (cellules jaunes) : ils alimentent la liste « Projet » du planning. Le reste est calculé.</t>
  </si>
  <si>
    <t xml:space="preserve">Sources de financement</t>
  </si>
  <si>
    <t xml:space="preserve">Source</t>
  </si>
  <si>
    <t xml:space="preserve">Certitude</t>
  </si>
  <si>
    <t xml:space="preserve">Description</t>
  </si>
  <si>
    <t xml:space="preserve">Budget (h)</t>
  </si>
  <si>
    <t xml:space="preserve">Affecté (h)</t>
  </si>
  <si>
    <t xml:space="preserve">Écart</t>
  </si>
  <si>
    <t xml:space="preserve">% consommé</t>
  </si>
  <si>
    <t xml:space="preserve">Confirmé</t>
  </si>
  <si>
    <t xml:space="preserve">Budget R&amp;D interne</t>
  </si>
  <si>
    <t xml:space="preserve">Tranche ferme contrat</t>
  </si>
  <si>
    <t xml:space="preserve">Subvention</t>
  </si>
  <si>
    <t xml:space="preserve">Pressenti</t>
  </si>
  <si>
    <t xml:space="preserve">Aide à l'innovation</t>
  </si>
  <si>
    <t xml:space="preserve">Client B</t>
  </si>
  <si>
    <t xml:space="preserve">Option</t>
  </si>
  <si>
    <t xml:space="preserve">Tranche conditionnelle</t>
  </si>
  <si>
    <t xml:space="preserve">Dont confirmé</t>
  </si>
  <si>
    <t xml:space="preserve">Dont pressenti / option</t>
  </si>
  <si>
    <t xml:space="preserve">Charge non couverte</t>
  </si>
  <si>
    <t xml:space="preserve">Saisir les sources en colonne A et leur budget en D : elles alimentent la liste « Source » de l'onglet Répartition. Affecté = heures qui leur sont attribuées dans cet onglet.</t>
  </si>
  <si>
    <t xml:space="preserve">Répartition du financement (heures par tâche et par source)</t>
  </si>
  <si>
    <t xml:space="preserve">Charge tâche</t>
  </si>
  <si>
    <t xml:space="preserve">Reste à financer</t>
  </si>
  <si>
    <t xml:space="preserve">Une ligne = une part de financement. Répéter la même tâche sur plusieurs lignes pour la partager entre sources. Reste à financer : vert = couverte, orange = incomplète, rouge = sur-financée.</t>
  </si>
  <si>
    <t xml:space="preserve">Pointage des heures consommées</t>
  </si>
  <si>
    <t xml:space="preserve">Une ligne = un pointage. Saisir la date, la personne, la tâche, la source de financement et les heures réalisées. Projet et mois sont déduits. Les synthèses à droite comparent budget, prévu et pointé.</t>
  </si>
  <si>
    <t xml:space="preserve">Date</t>
  </si>
  <si>
    <t xml:space="preserve">Mois</t>
  </si>
  <si>
    <t xml:space="preserve">Prévu (h)</t>
  </si>
  <si>
    <t xml:space="preserve">Pointé (h)</t>
  </si>
  <si>
    <t xml:space="preserve">Reste budget</t>
  </si>
  <si>
    <t xml:space="preserve">Charge prévue</t>
  </si>
  <si>
    <t xml:space="preserve">% avancement réel</t>
  </si>
  <si>
    <t xml:space="preserve">Blocking des assets</t>
  </si>
  <si>
    <t xml:space="preserve">Textures</t>
  </si>
  <si>
    <t xml:space="preserve">Bus de données</t>
  </si>
  <si>
    <t xml:space="preserve">Pointé hors source</t>
  </si>
  <si>
    <t xml:space="preserve">Pointé par personne</t>
  </si>
  <si>
    <t xml:space="preserve">Pointé par mois</t>
  </si>
  <si>
    <t xml:space="preserve">Écart cumulé</t>
  </si>
  <si>
    <t xml:space="preserve">TOTAL POINTÉ</t>
  </si>
  <si>
    <t xml:space="preserve">Suivi d'avancement et de budget</t>
  </si>
  <si>
    <t xml:space="preserve">Gauche (gris) = référentiel figé, repris du planning : ne rien saisir ici. Droite (couleur) = suivi vivant, recalculé à chaque pointage. Les colonnes du référentiel restent visibles quand on fait défiler vers la droite.</t>
  </si>
  <si>
    <t xml:space="preserve">Charge prévue (h)</t>
  </si>
  <si>
    <t xml:space="preserve">Reste à faire (h)</t>
  </si>
  <si>
    <t xml:space="preserve">Avancement réel</t>
  </si>
  <si>
    <t xml:space="preserve">Budget total (h)</t>
  </si>
  <si>
    <t xml:space="preserve">Reste budget (h)</t>
  </si>
  <si>
    <t xml:space="preserve">Tâches terminées</t>
  </si>
  <si>
    <t xml:space="preserve">RÉFÉRENTIEL FIGÉ  (planning)</t>
  </si>
  <si>
    <t xml:space="preserve">SUIVI VIVANT  (pointages)</t>
  </si>
  <si>
    <t xml:space="preserve">Période prévue</t>
  </si>
  <si>
    <t xml:space="preserve">Pointé</t>
  </si>
  <si>
    <t xml:space="preserve">Reste</t>
  </si>
  <si>
    <t xml:space="preserve">% réel</t>
  </si>
  <si>
    <t xml:space="preserve">Statut saisi</t>
  </si>
  <si>
    <t xml:space="preserve">Statut réel</t>
  </si>
  <si>
    <t xml:space="preserve">Dernier pointage</t>
  </si>
  <si>
    <t xml:space="preserve">Alerte</t>
  </si>
  <si>
    <t xml:space="preserve">RÉFÉRENTIEL FIGÉ  (budgets)</t>
  </si>
  <si>
    <t xml:space="preserve">SUIVI VIVANT  (consommation)</t>
  </si>
  <si>
    <t xml:space="preserve">Budget</t>
  </si>
  <si>
    <t xml:space="preserve">Prévu</t>
  </si>
  <si>
    <t xml:space="preserve">Reste à pointer</t>
  </si>
  <si>
    <t xml:space="preserve">Projection</t>
  </si>
  <si>
    <t xml:space="preserve">RÉFÉRENTIEL</t>
  </si>
  <si>
    <t xml:space="preserve">SUIVI VIVANT</t>
  </si>
  <si>
    <t xml:space="preserve">Prévu cumulé</t>
  </si>
  <si>
    <t xml:space="preserve">Pointé du mois</t>
  </si>
  <si>
    <t xml:space="preserve">Pointé cumulé</t>
  </si>
  <si>
    <t xml:space="preserve">Avancement cumulé</t>
  </si>
  <si>
    <t xml:space="preserve">Écart cumulé positif = on a pointé moins que prévu à cette date (retard de consommation) ; négatif = on consomme plus vite que le plan.</t>
  </si>
</sst>
</file>

<file path=xl/styles.xml><?xml version="1.0" encoding="utf-8"?>
<styleSheet xmlns="http://schemas.openxmlformats.org/spreadsheetml/2006/main">
  <numFmts count="9">
    <numFmt numFmtId="164" formatCode="&quot;◆▲ &quot;0;;&quot;◆▲&quot;"/>
    <numFmt numFmtId="165" formatCode="&quot;◆ &quot;0;;\◆"/>
    <numFmt numFmtId="166" formatCode="&quot;▲ &quot;0;;\▲"/>
    <numFmt numFmtId="167" formatCode="&quot;● &quot;0;;\●"/>
    <numFmt numFmtId="168" formatCode="General"/>
    <numFmt numFmtId="169" formatCode="mmm\ yy"/>
    <numFmt numFmtId="170" formatCode="General"/>
    <numFmt numFmtId="171" formatCode="0%"/>
    <numFmt numFmtId="172" formatCode="dd/mm/yyyy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AD282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78AD28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28AD92"/>
      <name val="Arial"/>
      <family val="0"/>
      <charset val="1"/>
    </font>
    <font>
      <b val="true"/>
      <sz val="11"/>
      <color rgb="FF4328AD"/>
      <name val="Arial"/>
      <family val="0"/>
      <charset val="1"/>
    </font>
    <font>
      <b val="true"/>
      <sz val="11"/>
      <color rgb="FFAD285D"/>
      <name val="Arial"/>
      <family val="0"/>
      <charset val="1"/>
    </font>
    <font>
      <b val="true"/>
      <sz val="11"/>
      <color rgb="FFADAD28"/>
      <name val="Arial"/>
      <family val="0"/>
      <charset val="1"/>
    </font>
    <font>
      <b val="true"/>
      <sz val="11"/>
      <color rgb="FF28AD5D"/>
      <name val="Arial"/>
      <family val="0"/>
      <charset val="1"/>
    </font>
    <font>
      <b val="true"/>
      <sz val="11"/>
      <color rgb="FF2843AD"/>
      <name val="Arial"/>
      <family val="0"/>
      <charset val="1"/>
    </font>
    <font>
      <b val="true"/>
      <sz val="11"/>
      <color rgb="FFAD2892"/>
      <name val="Arial"/>
      <family val="0"/>
      <charset val="1"/>
    </font>
    <font>
      <b val="true"/>
      <sz val="11"/>
      <color rgb="FFAD7828"/>
      <name val="Arial"/>
      <family val="0"/>
      <charset val="1"/>
    </font>
    <font>
      <b val="true"/>
      <sz val="11"/>
      <color rgb="FF28AD28"/>
      <name val="Arial"/>
      <family val="0"/>
      <charset val="1"/>
    </font>
    <font>
      <b val="true"/>
      <sz val="11"/>
      <color rgb="FF2878AD"/>
      <name val="Arial"/>
      <family val="0"/>
      <charset val="1"/>
    </font>
    <font>
      <b val="true"/>
      <sz val="11"/>
      <color rgb="FF9228AD"/>
      <name val="Arial"/>
      <family val="0"/>
      <charset val="1"/>
    </font>
    <font>
      <b val="true"/>
      <sz val="11"/>
      <color rgb="FFAD4328"/>
      <name val="Arial"/>
      <family val="0"/>
      <charset val="1"/>
    </font>
    <font>
      <b val="true"/>
      <sz val="11"/>
      <color rgb="FF5DAD28"/>
      <name val="Arial"/>
      <family val="0"/>
      <charset val="1"/>
    </font>
    <font>
      <b val="true"/>
      <sz val="11"/>
      <color rgb="FF28ADAD"/>
      <name val="Arial"/>
      <family val="0"/>
      <charset val="1"/>
    </font>
    <font>
      <b val="true"/>
      <sz val="11"/>
      <color rgb="FF5D28AD"/>
      <name val="Arial"/>
      <family val="0"/>
      <charset val="1"/>
    </font>
    <font>
      <b val="true"/>
      <sz val="11"/>
      <color rgb="FFAD2843"/>
      <name val="Arial"/>
      <family val="0"/>
      <charset val="1"/>
    </font>
    <font>
      <b val="true"/>
      <sz val="11"/>
      <color rgb="FF92AD28"/>
      <name val="Arial"/>
      <family val="0"/>
      <charset val="1"/>
    </font>
    <font>
      <b val="true"/>
      <sz val="11"/>
      <color rgb="FF28AD78"/>
      <name val="Arial"/>
      <family val="0"/>
      <charset val="1"/>
    </font>
    <font>
      <b val="true"/>
      <sz val="11"/>
      <color rgb="FF2828AD"/>
      <name val="Arial"/>
      <family val="0"/>
      <charset val="1"/>
    </font>
    <font>
      <b val="true"/>
      <sz val="11"/>
      <color rgb="FFAD2878"/>
      <name val="Arial"/>
      <family val="0"/>
      <charset val="1"/>
    </font>
    <font>
      <b val="true"/>
      <sz val="11"/>
      <color rgb="FFAD9228"/>
      <name val="Arial"/>
      <family val="0"/>
      <charset val="1"/>
    </font>
    <font>
      <b val="true"/>
      <sz val="11"/>
      <color rgb="FF28AD43"/>
      <name val="Arial"/>
      <family val="0"/>
      <charset val="1"/>
    </font>
    <font>
      <b val="true"/>
      <sz val="11"/>
      <color rgb="FF285DAD"/>
      <name val="Arial"/>
      <family val="0"/>
      <charset val="1"/>
    </font>
    <font>
      <b val="true"/>
      <sz val="11"/>
      <color rgb="FFAD28AD"/>
      <name val="Arial"/>
      <family val="0"/>
      <charset val="1"/>
    </font>
    <font>
      <b val="true"/>
      <sz val="11"/>
      <color rgb="FFAD5D28"/>
      <name val="Arial"/>
      <family val="0"/>
      <charset val="1"/>
    </font>
    <font>
      <b val="true"/>
      <sz val="11"/>
      <color rgb="FF43AD28"/>
      <name val="Arial"/>
      <family val="0"/>
      <charset val="1"/>
    </font>
    <font>
      <b val="true"/>
      <sz val="11"/>
      <color rgb="FF2892AD"/>
      <name val="Arial"/>
      <family val="0"/>
      <charset val="1"/>
    </font>
    <font>
      <b val="true"/>
      <sz val="11"/>
      <color rgb="FF7828A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2F5597"/>
      <name val="Arial"/>
      <family val="0"/>
      <charset val="1"/>
    </font>
    <font>
      <b val="true"/>
      <sz val="13"/>
      <color rgb="FF7030A0"/>
      <name val="Arial"/>
      <family val="0"/>
      <charset val="1"/>
    </font>
    <font>
      <b val="true"/>
      <sz val="13"/>
      <color rgb="FF548235"/>
      <name val="Arial"/>
      <family val="0"/>
      <charset val="1"/>
    </font>
    <font>
      <b val="true"/>
      <sz val="13"/>
      <color rgb="FFC55A11"/>
      <name val="Arial"/>
      <family val="0"/>
      <charset val="1"/>
    </font>
    <font>
      <b val="true"/>
      <sz val="13"/>
      <color rgb="FFBF8F00"/>
      <name val="Arial"/>
      <family val="0"/>
      <charset val="1"/>
    </font>
    <font>
      <b val="true"/>
      <sz val="13"/>
      <color rgb="FF833C0B"/>
      <name val="Arial"/>
      <family val="0"/>
      <charset val="1"/>
    </font>
    <font>
      <b val="true"/>
      <sz val="13"/>
      <color rgb="FF375623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darkGray">
        <fgColor rgb="FF222E61"/>
        <bgColor rgb="FF245198"/>
      </patternFill>
    </fill>
    <fill>
      <patternFill patternType="solid">
        <fgColor rgb="FF245198"/>
        <bgColor rgb="FF2D75B5"/>
      </patternFill>
    </fill>
    <fill>
      <patternFill patternType="solid">
        <fgColor rgb="FFC55A11"/>
        <bgColor rgb="FFAD5028"/>
      </patternFill>
    </fill>
    <fill>
      <patternFill patternType="solid">
        <fgColor rgb="FF6E2CA5"/>
        <bgColor rgb="FFA428A4"/>
      </patternFill>
    </fill>
    <fill>
      <patternFill patternType="solid">
        <fgColor rgb="FFFFFBEA"/>
        <bgColor rgb="FFFBF4E4"/>
      </patternFill>
    </fill>
    <fill>
      <patternFill patternType="solid">
        <fgColor rgb="FFFFFFFF"/>
        <bgColor rgb="FFFFFBEA"/>
      </patternFill>
    </fill>
    <fill>
      <patternFill patternType="solid">
        <fgColor rgb="FFD9D9D9"/>
        <bgColor rgb="FFD0D6F3"/>
      </patternFill>
    </fill>
    <fill>
      <patternFill patternType="solid">
        <fgColor rgb="FFF2F2F2"/>
        <bgColor rgb="FFF3EFF7"/>
      </patternFill>
    </fill>
    <fill>
      <patternFill patternType="solid">
        <fgColor rgb="FFFFC000"/>
        <bgColor rgb="FFBF8F00"/>
      </patternFill>
    </fill>
    <fill>
      <patternFill patternType="solid">
        <fgColor rgb="FF70AD46"/>
        <bgColor rgb="FF50AD28"/>
      </patternFill>
    </fill>
    <fill>
      <patternFill patternType="solid">
        <fgColor rgb="FFC00000"/>
        <bgColor rgb="FFAD2831"/>
      </patternFill>
    </fill>
    <fill>
      <patternFill patternType="solid">
        <fgColor rgb="FF833C0B"/>
        <bgColor rgb="FF7F6000"/>
      </patternFill>
    </fill>
    <fill>
      <patternFill patternType="solid">
        <fgColor rgb="FFFDF0EC"/>
        <bgColor rgb="FFFDF2F2"/>
      </patternFill>
    </fill>
    <fill>
      <patternFill patternType="solid">
        <fgColor rgb="FF548235"/>
        <bgColor rgb="FF50AD28"/>
      </patternFill>
    </fill>
    <fill>
      <patternFill patternType="solid">
        <fgColor rgb="FFFFF2CC"/>
        <bgColor rgb="FFF0F3CD"/>
      </patternFill>
    </fill>
    <fill>
      <patternFill patternType="solid">
        <fgColor rgb="FFF2F7EE"/>
        <bgColor rgb="FFF7F7F7"/>
      </patternFill>
    </fill>
    <fill>
      <patternFill patternType="solid">
        <fgColor rgb="FF375623"/>
        <bgColor rgb="FF595959"/>
      </patternFill>
    </fill>
    <fill>
      <patternFill patternType="solid">
        <fgColor rgb="FFF8CBAD"/>
        <bgColor rgb="FFF3CDD2"/>
      </patternFill>
    </fill>
    <fill>
      <patternFill patternType="solid">
        <fgColor rgb="FF2D75B5"/>
        <bgColor rgb="FF245198"/>
      </patternFill>
    </fill>
    <fill>
      <patternFill patternType="solid">
        <fgColor rgb="FFEAF1F8"/>
        <bgColor rgb="FFF2F2F2"/>
      </patternFill>
    </fill>
    <fill>
      <patternFill patternType="darkGray">
        <fgColor rgb="FF245198"/>
        <bgColor rgb="FF222E61"/>
      </patternFill>
    </fill>
    <fill>
      <patternFill patternType="solid">
        <fgColor rgb="FFBF8F00"/>
        <bgColor rgb="FFAD8528"/>
      </patternFill>
    </fill>
    <fill>
      <patternFill patternType="solid">
        <fgColor rgb="FFFBF4E4"/>
        <bgColor rgb="FFFDF0EC"/>
      </patternFill>
    </fill>
    <fill>
      <patternFill patternType="solid">
        <fgColor rgb="FF7F6000"/>
        <bgColor rgb="FF833C0B"/>
      </patternFill>
    </fill>
    <fill>
      <patternFill patternType="mediumGray">
        <fgColor rgb="FFF2F2F2"/>
        <bgColor rgb="FFF2F7EE"/>
      </patternFill>
    </fill>
    <fill>
      <patternFill patternType="solid">
        <fgColor rgb="FFF3EFF7"/>
        <bgColor rgb="FFF2F2F2"/>
      </patternFill>
    </fill>
    <fill>
      <patternFill patternType="solid">
        <fgColor rgb="FF222E61"/>
        <bgColor rgb="FF3128AD"/>
      </patternFill>
    </fill>
    <fill>
      <patternFill patternType="solid">
        <fgColor rgb="FFF7F7F7"/>
        <bgColor rgb="FFF2F7EE"/>
      </patternFill>
    </fill>
    <fill>
      <patternFill patternType="solid">
        <fgColor rgb="FF595959"/>
        <bgColor rgb="FF375623"/>
      </patternFill>
    </fill>
    <fill>
      <patternFill patternType="solid">
        <fgColor rgb="FFEDEDED"/>
        <bgColor rgb="FFF3EFF7"/>
      </patternFill>
    </fill>
    <fill>
      <patternFill patternType="solid">
        <fgColor rgb="FFFDF2F2"/>
        <bgColor rgb="FFFDF0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7"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2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9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0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3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1">
    <dxf>
      <font>
        <b val="1"/>
        <color rgb="FF595959"/>
      </font>
      <fill>
        <patternFill>
          <bgColor rgb="FFD9D9D9"/>
        </patternFill>
      </fill>
    </dxf>
    <dxf>
      <font>
        <b val="1"/>
        <color rgb="FF7F6000"/>
      </font>
      <fill>
        <patternFill>
          <bgColor rgb="FFFFC000"/>
        </patternFill>
      </fill>
    </dxf>
    <dxf>
      <font>
        <b val="1"/>
        <color rgb="FFFFFFFF"/>
      </font>
      <fill>
        <patternFill>
          <bgColor rgb="FF70AD47"/>
        </patternFill>
      </fill>
    </dxf>
    <dxf>
      <font>
        <b val="1"/>
        <color rgb="FFC00000"/>
      </font>
      <fill>
        <patternFill>
          <bgColor rgb="FFF8CBAD"/>
        </patternFill>
      </fill>
    </dxf>
    <dxf>
      <font>
        <strike val="1"/>
        <color rgb="FF808080"/>
      </font>
    </dxf>
    <dxf>
      <font>
        <color rgb="FF808080"/>
      </font>
      <fill>
        <patternFill>
          <bgColor rgb="FFF3CDCD"/>
        </patternFill>
      </fill>
    </dxf>
    <dxf>
      <font>
        <b val="1"/>
        <color rgb="FFFFFFFF"/>
      </font>
      <fill>
        <patternFill>
          <bgColor rgb="FFAD2828"/>
        </patternFill>
      </fill>
    </dxf>
    <dxf>
      <numFmt numFmtId="164" formatCode="&quot;◆▲ &quot;0;;&quot;◆▲&quot;"/>
      <border diagonalUp="false" diagonalDown="false">
        <left style="thick"/>
        <right style="thick"/>
        <top style="thick"/>
        <bottom style="thick"/>
        <diagonal/>
      </border>
    </dxf>
    <dxf>
      <numFmt numFmtId="165" formatCode="&quot;◆ &quot;0;;\◆"/>
      <border diagonalUp="false" diagonalDown="false">
        <left style="thick"/>
        <right style="thick"/>
        <top style="thick"/>
        <bottom style="thick"/>
        <diagonal/>
      </border>
    </dxf>
    <dxf>
      <numFmt numFmtId="166" formatCode="&quot;▲ &quot;0;;\▲"/>
      <border diagonalUp="false" diagonalDown="false">
        <left style="thick"/>
        <right style="thick"/>
        <top style="thick"/>
        <bottom style="thick"/>
        <diagonal/>
      </border>
    </dxf>
    <dxf>
      <numFmt numFmtId="167" formatCode="&quot;● &quot;0;;\●"/>
      <border diagonalUp="false" diagonalDown="false">
        <left style="thick"/>
        <right style="thick"/>
        <top style="thick"/>
        <bottom style="thick"/>
        <diagonal/>
      </border>
    </dxf>
    <dxf>
      <font>
        <color rgb="FF808080"/>
      </font>
      <fill>
        <patternFill>
          <bgColor rgb="FFE4F3CD"/>
        </patternFill>
      </fill>
    </dxf>
    <dxf>
      <font>
        <b val="1"/>
        <color rgb="FFFFFFFF"/>
      </font>
      <fill>
        <patternFill>
          <bgColor rgb="FF78AD28"/>
        </patternFill>
      </fill>
    </dxf>
    <dxf>
      <font>
        <color rgb="FF808080"/>
      </font>
      <fill>
        <patternFill>
          <bgColor rgb="FFCDF3EB"/>
        </patternFill>
      </fill>
    </dxf>
    <dxf>
      <font>
        <b val="1"/>
        <color rgb="FFFFFFFF"/>
      </font>
      <fill>
        <patternFill>
          <bgColor rgb="FF28AD92"/>
        </patternFill>
      </fill>
    </dxf>
    <dxf>
      <font>
        <color rgb="FF808080"/>
      </font>
      <fill>
        <patternFill>
          <bgColor rgb="FFD5CDF3"/>
        </patternFill>
      </fill>
    </dxf>
    <dxf>
      <font>
        <b val="1"/>
        <color rgb="FFFFFFFF"/>
      </font>
      <fill>
        <patternFill>
          <bgColor rgb="FF4328AD"/>
        </patternFill>
      </fill>
    </dxf>
    <dxf>
      <font>
        <color rgb="FF808080"/>
      </font>
      <fill>
        <patternFill>
          <bgColor rgb="FFF3CDDC"/>
        </patternFill>
      </fill>
    </dxf>
    <dxf>
      <font>
        <b val="1"/>
        <color rgb="FFFFFFFF"/>
      </font>
      <fill>
        <patternFill>
          <bgColor rgb="FFAD285D"/>
        </patternFill>
      </fill>
    </dxf>
    <dxf>
      <font>
        <color rgb="FF808080"/>
      </font>
      <fill>
        <patternFill>
          <bgColor rgb="FFF3F3CD"/>
        </patternFill>
      </fill>
    </dxf>
    <dxf>
      <font>
        <b val="1"/>
        <color rgb="FFFFFFFF"/>
      </font>
      <fill>
        <patternFill>
          <bgColor rgb="FFADAD28"/>
        </patternFill>
      </fill>
    </dxf>
    <dxf>
      <font>
        <color rgb="FF808080"/>
      </font>
      <fill>
        <patternFill>
          <bgColor rgb="FFCDF3DC"/>
        </patternFill>
      </fill>
    </dxf>
    <dxf>
      <font>
        <b val="1"/>
        <color rgb="FFFFFFFF"/>
      </font>
      <fill>
        <patternFill>
          <bgColor rgb="FF28AD5D"/>
        </patternFill>
      </fill>
    </dxf>
    <dxf>
      <font>
        <color rgb="FF808080"/>
      </font>
      <fill>
        <patternFill>
          <bgColor rgb="FFCDD5F3"/>
        </patternFill>
      </fill>
    </dxf>
    <dxf>
      <font>
        <b val="1"/>
        <color rgb="FFFFFFFF"/>
      </font>
      <fill>
        <patternFill>
          <bgColor rgb="FF2843AD"/>
        </patternFill>
      </fill>
    </dxf>
    <dxf>
      <font>
        <color rgb="FF808080"/>
      </font>
      <fill>
        <patternFill>
          <bgColor rgb="FFF3CDEB"/>
        </patternFill>
      </fill>
    </dxf>
    <dxf>
      <font>
        <b val="1"/>
        <color rgb="FFFFFFFF"/>
      </font>
      <fill>
        <patternFill>
          <bgColor rgb="FFAD2892"/>
        </patternFill>
      </fill>
    </dxf>
    <dxf>
      <font>
        <color rgb="FF808080"/>
      </font>
      <fill>
        <patternFill>
          <bgColor rgb="FFF3E4CD"/>
        </patternFill>
      </fill>
    </dxf>
    <dxf>
      <font>
        <b val="1"/>
        <color rgb="FFFFFFFF"/>
      </font>
      <fill>
        <patternFill>
          <bgColor rgb="FFAD7828"/>
        </patternFill>
      </fill>
    </dxf>
    <dxf>
      <font>
        <color rgb="FF808080"/>
      </font>
      <fill>
        <patternFill>
          <bgColor rgb="FFCDF3CD"/>
        </patternFill>
      </fill>
    </dxf>
    <dxf>
      <font>
        <b val="1"/>
        <color rgb="FFFFFFFF"/>
      </font>
      <fill>
        <patternFill>
          <bgColor rgb="FF28AD28"/>
        </patternFill>
      </fill>
    </dxf>
    <dxf>
      <font>
        <color rgb="FF808080"/>
      </font>
      <fill>
        <patternFill>
          <bgColor rgb="FFCDE4F3"/>
        </patternFill>
      </fill>
    </dxf>
    <dxf>
      <font>
        <b val="1"/>
        <color rgb="FFFFFFFF"/>
      </font>
      <fill>
        <patternFill>
          <bgColor rgb="FF2878AD"/>
        </patternFill>
      </fill>
    </dxf>
    <dxf>
      <font>
        <color rgb="FF808080"/>
      </font>
      <fill>
        <patternFill>
          <bgColor rgb="FFEBCDF3"/>
        </patternFill>
      </fill>
    </dxf>
    <dxf>
      <font>
        <b val="1"/>
        <color rgb="FFFFFFFF"/>
      </font>
      <fill>
        <patternFill>
          <bgColor rgb="FF9228AD"/>
        </patternFill>
      </fill>
    </dxf>
    <dxf>
      <font>
        <color rgb="FF808080"/>
      </font>
      <fill>
        <patternFill>
          <bgColor rgb="FFF3D5CD"/>
        </patternFill>
      </fill>
    </dxf>
    <dxf>
      <font>
        <b val="1"/>
        <color rgb="FFFFFFFF"/>
      </font>
      <fill>
        <patternFill>
          <bgColor rgb="FFAD4328"/>
        </patternFill>
      </fill>
    </dxf>
    <dxf>
      <font>
        <color rgb="FF808080"/>
      </font>
      <fill>
        <patternFill>
          <bgColor rgb="FFDCF3CD"/>
        </patternFill>
      </fill>
    </dxf>
    <dxf>
      <font>
        <b val="1"/>
        <color rgb="FFFFFFFF"/>
      </font>
      <fill>
        <patternFill>
          <bgColor rgb="FF5DAD28"/>
        </patternFill>
      </fill>
    </dxf>
    <dxf>
      <font>
        <color rgb="FF808080"/>
      </font>
      <fill>
        <patternFill>
          <bgColor rgb="FFCDF3F3"/>
        </patternFill>
      </fill>
    </dxf>
    <dxf>
      <font>
        <b val="1"/>
        <color rgb="FFFFFFFF"/>
      </font>
      <fill>
        <patternFill>
          <bgColor rgb="FF28ADAD"/>
        </patternFill>
      </fill>
    </dxf>
    <dxf>
      <font>
        <color rgb="FF808080"/>
      </font>
      <fill>
        <patternFill>
          <bgColor rgb="FFDCCDF3"/>
        </patternFill>
      </fill>
    </dxf>
    <dxf>
      <font>
        <b val="1"/>
        <color rgb="FFFFFFFF"/>
      </font>
      <fill>
        <patternFill>
          <bgColor rgb="FF5D28AD"/>
        </patternFill>
      </fill>
    </dxf>
    <dxf>
      <font>
        <color rgb="FF808080"/>
      </font>
      <fill>
        <patternFill>
          <bgColor rgb="FFF3CDD5"/>
        </patternFill>
      </fill>
    </dxf>
    <dxf>
      <font>
        <b val="1"/>
        <color rgb="FFFFFFFF"/>
      </font>
      <fill>
        <patternFill>
          <bgColor rgb="FFAD2843"/>
        </patternFill>
      </fill>
    </dxf>
    <dxf>
      <font>
        <color rgb="FF808080"/>
      </font>
      <fill>
        <patternFill>
          <bgColor rgb="FFEBF3CD"/>
        </patternFill>
      </fill>
    </dxf>
    <dxf>
      <font>
        <b val="1"/>
        <color rgb="FFFFFFFF"/>
      </font>
      <fill>
        <patternFill>
          <bgColor rgb="FF92AD28"/>
        </patternFill>
      </fill>
    </dxf>
    <dxf>
      <font>
        <color rgb="FF808080"/>
      </font>
      <fill>
        <patternFill>
          <bgColor rgb="FFCDF3E4"/>
        </patternFill>
      </fill>
    </dxf>
    <dxf>
      <font>
        <b val="1"/>
        <color rgb="FFFFFFFF"/>
      </font>
      <fill>
        <patternFill>
          <bgColor rgb="FF28AD78"/>
        </patternFill>
      </fill>
    </dxf>
    <dxf>
      <font>
        <color rgb="FF808080"/>
      </font>
      <fill>
        <patternFill>
          <bgColor rgb="FFCDCDF3"/>
        </patternFill>
      </fill>
    </dxf>
    <dxf>
      <font>
        <b val="1"/>
        <color rgb="FFFFFFFF"/>
      </font>
      <fill>
        <patternFill>
          <bgColor rgb="FF2828AD"/>
        </patternFill>
      </fill>
    </dxf>
    <dxf>
      <font>
        <color rgb="FF808080"/>
      </font>
      <fill>
        <patternFill>
          <bgColor rgb="FFF3CDE4"/>
        </patternFill>
      </fill>
    </dxf>
    <dxf>
      <font>
        <b val="1"/>
        <color rgb="FFFFFFFF"/>
      </font>
      <fill>
        <patternFill>
          <bgColor rgb="FFAD2878"/>
        </patternFill>
      </fill>
    </dxf>
    <dxf>
      <font>
        <color rgb="FF808080"/>
      </font>
      <fill>
        <patternFill>
          <bgColor rgb="FFF3EBCD"/>
        </patternFill>
      </fill>
    </dxf>
    <dxf>
      <font>
        <b val="1"/>
        <color rgb="FFFFFFFF"/>
      </font>
      <fill>
        <patternFill>
          <bgColor rgb="FFAD9228"/>
        </patternFill>
      </fill>
    </dxf>
    <dxf>
      <font>
        <color rgb="FF808080"/>
      </font>
      <fill>
        <patternFill>
          <bgColor rgb="FFCDF3D5"/>
        </patternFill>
      </fill>
    </dxf>
    <dxf>
      <font>
        <b val="1"/>
        <color rgb="FFFFFFFF"/>
      </font>
      <fill>
        <patternFill>
          <bgColor rgb="FF28AD43"/>
        </patternFill>
      </fill>
    </dxf>
    <dxf>
      <font>
        <color rgb="FF808080"/>
      </font>
      <fill>
        <patternFill>
          <bgColor rgb="FFCDDCF3"/>
        </patternFill>
      </fill>
    </dxf>
    <dxf>
      <font>
        <b val="1"/>
        <color rgb="FFFFFFFF"/>
      </font>
      <fill>
        <patternFill>
          <bgColor rgb="FF285DAD"/>
        </patternFill>
      </fill>
    </dxf>
    <dxf>
      <font>
        <color rgb="FF808080"/>
      </font>
      <fill>
        <patternFill>
          <bgColor rgb="FFF3CDF3"/>
        </patternFill>
      </fill>
    </dxf>
    <dxf>
      <font>
        <b val="1"/>
        <color rgb="FFFFFFFF"/>
      </font>
      <fill>
        <patternFill>
          <bgColor rgb="FFAD28AD"/>
        </patternFill>
      </fill>
    </dxf>
    <dxf>
      <font>
        <color rgb="FF808080"/>
      </font>
      <fill>
        <patternFill>
          <bgColor rgb="FFF3DCCD"/>
        </patternFill>
      </fill>
    </dxf>
    <dxf>
      <font>
        <b val="1"/>
        <color rgb="FFFFFFFF"/>
      </font>
      <fill>
        <patternFill>
          <bgColor rgb="FFAD5D28"/>
        </patternFill>
      </fill>
    </dxf>
    <dxf>
      <font>
        <color rgb="FF808080"/>
      </font>
      <fill>
        <patternFill>
          <bgColor rgb="FFD5F3CD"/>
        </patternFill>
      </fill>
    </dxf>
    <dxf>
      <font>
        <b val="1"/>
        <color rgb="FFFFFFFF"/>
      </font>
      <fill>
        <patternFill>
          <bgColor rgb="FF43AD28"/>
        </patternFill>
      </fill>
    </dxf>
    <dxf>
      <font>
        <color rgb="FF808080"/>
      </font>
      <fill>
        <patternFill>
          <bgColor rgb="FFCDEBF3"/>
        </patternFill>
      </fill>
    </dxf>
    <dxf>
      <font>
        <b val="1"/>
        <color rgb="FFFFFFFF"/>
      </font>
      <fill>
        <patternFill>
          <bgColor rgb="FF2892AD"/>
        </patternFill>
      </fill>
    </dxf>
    <dxf>
      <font>
        <color rgb="FF808080"/>
      </font>
      <fill>
        <patternFill>
          <bgColor rgb="FFE4CDF3"/>
        </patternFill>
      </fill>
    </dxf>
    <dxf>
      <font>
        <b val="1"/>
        <color rgb="FFFFFFFF"/>
      </font>
      <fill>
        <patternFill>
          <bgColor rgb="FF7828AD"/>
        </patternFill>
      </fill>
    </dxf>
    <dxf>
      <font>
        <b val="1"/>
        <color rgb="FF548235"/>
        <sz val="14"/>
      </font>
      <fill>
        <patternFill>
          <bgColor rgb="FFE2F0D9"/>
        </patternFill>
      </fill>
    </dxf>
    <dxf>
      <font>
        <b val="1"/>
        <color rgb="FFC00000"/>
        <sz val="14"/>
      </font>
      <fill>
        <patternFill>
          <bgColor rgb="FFFCE4E4"/>
        </patternFill>
      </fill>
    </dxf>
    <dxf>
      <font>
        <b val="1"/>
        <color rgb="FF2E75B6"/>
        <sz val="14"/>
      </font>
      <fill>
        <patternFill>
          <bgColor rgb="FFDDEBF7"/>
        </patternFill>
      </fill>
    </dxf>
    <dxf>
      <font>
        <b val="1"/>
        <color rgb="FFBF8F00"/>
        <sz val="14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C6E0B4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548235"/>
      </font>
    </dxf>
    <dxf>
      <font>
        <b val="1"/>
        <color rgb="FFC00000"/>
      </font>
      <fill>
        <patternFill>
          <bgColor rgb="FFFCE4E4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  <sz val="13"/>
      </font>
    </dxf>
    <dxf>
      <font>
        <b val="1"/>
        <color rgb="FFFFFFFF"/>
      </font>
      <fill>
        <patternFill>
          <bgColor rgb="FFC00000"/>
        </patternFill>
      </fill>
    </dxf>
    <dxf>
      <font>
        <color rgb="FF808080"/>
      </font>
    </dxf>
  </dxfs>
  <colors>
    <indexedColors>
      <rgbColor rgb="FF000000"/>
      <rgbColor rgb="FFFFFFFF"/>
      <rgbColor rgb="FFC00000"/>
      <rgbColor rgb="FFF3DACD"/>
      <rgbColor rgb="FFFDF2F2"/>
      <rgbColor rgb="FFF0F3CD"/>
      <rgbColor rgb="FFF3CDE2"/>
      <rgbColor rgb="FFE2F0D9"/>
      <rgbColor rgb="FFAD5028"/>
      <rgbColor rgb="FF28AD31"/>
      <rgbColor rgb="FFF7F7F7"/>
      <rgbColor rgb="FF7F6000"/>
      <rgbColor rgb="FF6E2CA5"/>
      <rgbColor rgb="FF548235"/>
      <rgbColor rgb="FFBFBFBF"/>
      <rgbColor rgb="FF808080"/>
      <rgbColor rgb="FFD9D9D9"/>
      <rgbColor rgb="FFAD286B"/>
      <rgbColor rgb="FFFFF2CC"/>
      <rgbColor rgb="FFCDF1F3"/>
      <rgbColor rgb="FFF2F2F2"/>
      <rgbColor rgb="FFAD8528"/>
      <rgbColor rgb="FF245198"/>
      <rgbColor rgb="FFD0D6F3"/>
      <rgbColor rgb="FFFFFBEA"/>
      <rgbColor rgb="FFFCE4E4"/>
      <rgbColor rgb="FFF3E9CD"/>
      <rgbColor rgb="FFEAF1F8"/>
      <rgbColor rgb="FFA428A4"/>
      <rgbColor rgb="FFFDF0EC"/>
      <rgbColor rgb="FF50AD28"/>
      <rgbColor rgb="FFFBF4E4"/>
      <rgbColor rgb="FFEDEDED"/>
      <rgbColor rgb="FFDDEBF7"/>
      <rgbColor rgb="FFCDF3DE"/>
      <rgbColor rgb="FFFFE699"/>
      <rgbColor rgb="FFC6E0B4"/>
      <rgbColor rgb="FFF3CDD2"/>
      <rgbColor rgb="FFF0CDF3"/>
      <rgbColor rgb="FFF8CBAD"/>
      <rgbColor rgb="FF2D75B5"/>
      <rgbColor rgb="FF28A0AD"/>
      <rgbColor rgb="FFA0AD28"/>
      <rgbColor rgb="FFFFC000"/>
      <rgbColor rgb="FFBF8F00"/>
      <rgbColor rgb="FFC55A11"/>
      <rgbColor rgb="FF595959"/>
      <rgbColor rgb="FF70AD46"/>
      <rgbColor rgb="FFF3EFF7"/>
      <rgbColor rgb="FF28AD78"/>
      <rgbColor rgb="FFF2F7EE"/>
      <rgbColor rgb="FF375623"/>
      <rgbColor rgb="FF833C0B"/>
      <rgbColor rgb="FFAD2831"/>
      <rgbColor rgb="FF3128AD"/>
      <rgbColor rgb="FF222E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27" min="10" style="0" width="8"/>
    <col collapsed="false" customWidth="true" hidden="false" outlineLevel="0" max="28" min="28" style="0" width="3"/>
    <col collapsed="false" customWidth="true" hidden="false" outlineLevel="0" max="29" min="29" style="0" width="16"/>
    <col collapsed="false" customWidth="true" hidden="false" outlineLevel="0" max="31" min="30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4" t="n">
        <v>46266</v>
      </c>
      <c r="K3" s="4" t="n">
        <v>46296</v>
      </c>
      <c r="L3" s="4" t="n">
        <v>46327</v>
      </c>
      <c r="M3" s="4" t="n">
        <v>46357</v>
      </c>
      <c r="N3" s="4" t="n">
        <v>46388</v>
      </c>
      <c r="O3" s="4" t="n">
        <v>46419</v>
      </c>
      <c r="P3" s="4" t="n">
        <v>46447</v>
      </c>
      <c r="Q3" s="4" t="n">
        <v>46478</v>
      </c>
      <c r="R3" s="4" t="n">
        <v>46508</v>
      </c>
      <c r="S3" s="4" t="n">
        <v>46539</v>
      </c>
      <c r="T3" s="4" t="n">
        <v>46569</v>
      </c>
      <c r="U3" s="4" t="n">
        <v>46600</v>
      </c>
      <c r="V3" s="4" t="n">
        <v>46631</v>
      </c>
      <c r="W3" s="4" t="n">
        <v>46661</v>
      </c>
      <c r="X3" s="4" t="n">
        <v>46692</v>
      </c>
      <c r="Y3" s="4" t="n">
        <v>46722</v>
      </c>
      <c r="Z3" s="4" t="n">
        <v>46753</v>
      </c>
      <c r="AA3" s="4" t="n">
        <v>46784</v>
      </c>
      <c r="AC3" s="5" t="s">
        <v>11</v>
      </c>
      <c r="AD3" s="5" t="s">
        <v>12</v>
      </c>
      <c r="AE3" s="5" t="s">
        <v>13</v>
      </c>
    </row>
    <row r="4" customFormat="false" ht="21.75" hidden="false" customHeight="true" outlineLevel="0" collapsed="false">
      <c r="A4" s="6" t="s">
        <v>14</v>
      </c>
      <c r="B4" s="7" t="s">
        <v>15</v>
      </c>
      <c r="C4" s="7" t="s">
        <v>16</v>
      </c>
      <c r="D4" s="8" t="s">
        <v>17</v>
      </c>
      <c r="E4" s="9" t="s">
        <v>18</v>
      </c>
      <c r="F4" s="10" t="str">
        <f aca="false" t="array" ref="F4:F4">IF($C4="","",IFERROR(_xlfn.TEXTJOIN(" + ",TRUE(),IF(Répartition!$A$4:$A$103=$C4,Répartition!$B$4:$B$103&amp;" ("&amp;Répartition!$C$4:$C$103&amp;"h)","")),""))</f>
        <v>Interne (120h)</v>
      </c>
      <c r="G4" s="10" t="n">
        <f aca="false">IF(COUNT(J4:AA4)=0,"",SUM(J4:AA4))</f>
        <v>120</v>
      </c>
      <c r="H4" s="11" t="n">
        <f aca="false">IFERROR(INDEX($J$3:$AA$3,MATCH(TRUE(),INDEX(J4:AA4&gt;0,0),0)),"")</f>
        <v>46266</v>
      </c>
      <c r="I4" s="11" t="n">
        <f aca="false">IF(SUMPRODUCT(MAX((J4:AA4&gt;0)*COLUMN(J4:AA4)))=0,"",INDEX($J$3:$AA$3,SUMPRODUCT(MAX((J4:AA4&gt;0)*COLUMN(J4:AA4)))-COLUMN($J$3)+1))</f>
        <v>46296</v>
      </c>
      <c r="J4" s="9" t="n">
        <v>80</v>
      </c>
      <c r="K4" s="9" t="n">
        <v>40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C4" s="12" t="s">
        <v>19</v>
      </c>
      <c r="AD4" s="13" t="n">
        <f aca="false">COUNTIF($E$4:$E$33,AC4)</f>
        <v>4</v>
      </c>
      <c r="AE4" s="13" t="n">
        <f aca="false">SUMIF($E$4:$E$33,AC4,$G$4:$G$33)</f>
        <v>1500</v>
      </c>
    </row>
    <row r="5" customFormat="false" ht="21.75" hidden="false" customHeight="true" outlineLevel="0" collapsed="false">
      <c r="A5" s="14" t="s">
        <v>20</v>
      </c>
      <c r="B5" s="7" t="s">
        <v>15</v>
      </c>
      <c r="C5" s="7" t="s">
        <v>21</v>
      </c>
      <c r="D5" s="8" t="s">
        <v>17</v>
      </c>
      <c r="E5" s="15" t="s">
        <v>19</v>
      </c>
      <c r="F5" s="16" t="str">
        <f aca="false" t="array" ref="F5:F5">IF($C5="","",IFERROR(_xlfn.TEXTJOIN(" + ",TRUE(),IF(Répartition!$A$4:$A$103=$C5,Répartition!$B$4:$B$103&amp;" ("&amp;Répartition!$C$4:$C$103&amp;"h)","")),""))</f>
        <v>Interne (200h)</v>
      </c>
      <c r="G5" s="16" t="n">
        <f aca="false">IF(COUNT(J5:AA5)=0,"",SUM(J5:AA5))</f>
        <v>200</v>
      </c>
      <c r="H5" s="17" t="n">
        <f aca="false">IFERROR(INDEX($J$3:$AA$3,MATCH(TRUE(),INDEX(J5:AA5&gt;0,0),0)),"")</f>
        <v>46296</v>
      </c>
      <c r="I5" s="17" t="n">
        <f aca="false">IF(SUMPRODUCT(MAX((J5:AA5&gt;0)*COLUMN(J5:AA5)))=0,"",INDEX($J$3:$AA$3,SUMPRODUCT(MAX((J5:AA5&gt;0)*COLUMN(J5:AA5)))-COLUMN($J$3)+1))</f>
        <v>46296</v>
      </c>
      <c r="J5" s="15"/>
      <c r="K5" s="15" t="n">
        <v>200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8" t="s">
        <v>18</v>
      </c>
      <c r="AD5" s="13" t="n">
        <f aca="false">COUNTIF($E$4:$E$33,AC5)</f>
        <v>1</v>
      </c>
      <c r="AE5" s="13" t="n">
        <f aca="false">SUMIF($E$4:$E$33,AC5,$G$4:$G$33)</f>
        <v>120</v>
      </c>
    </row>
    <row r="6" customFormat="false" ht="21.75" hidden="false" customHeight="true" outlineLevel="0" collapsed="false">
      <c r="A6" s="19" t="s">
        <v>22</v>
      </c>
      <c r="B6" s="7" t="s">
        <v>23</v>
      </c>
      <c r="C6" s="7" t="s">
        <v>24</v>
      </c>
      <c r="D6" s="8" t="s">
        <v>25</v>
      </c>
      <c r="E6" s="9" t="s">
        <v>19</v>
      </c>
      <c r="F6" s="10" t="str">
        <f aca="false" t="array" ref="F6:F6">IF($C6="","",IFERROR(_xlfn.TEXTJOIN(" + ",TRUE(),IF(Répartition!$A$4:$A$103=$C6,Répartition!$B$4:$B$103&amp;" ("&amp;Répartition!$C$4:$C$103&amp;"h)","")),""))</f>
        <v>Client A (300h) + Subvention (180h)</v>
      </c>
      <c r="G6" s="10" t="n">
        <f aca="false">IF(COUNT(J6:AA6)=0,"",SUM(J6:AA6))</f>
        <v>480</v>
      </c>
      <c r="H6" s="11" t="n">
        <f aca="false">IFERROR(INDEX($J$3:$AA$3,MATCH(TRUE(),INDEX(J6:AA6&gt;0,0),0)),"")</f>
        <v>46296</v>
      </c>
      <c r="I6" s="11" t="n">
        <f aca="false">IF(SUMPRODUCT(MAX((J6:AA6&gt;0)*COLUMN(J6:AA6)))=0,"",INDEX($J$3:$AA$3,SUMPRODUCT(MAX((J6:AA6&gt;0)*COLUMN(J6:AA6)))-COLUMN($J$3)+1))</f>
        <v>46357</v>
      </c>
      <c r="J6" s="9"/>
      <c r="K6" s="9" t="n">
        <v>80</v>
      </c>
      <c r="L6" s="9" t="n">
        <v>320</v>
      </c>
      <c r="M6" s="9" t="n">
        <v>80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C6" s="20" t="s">
        <v>26</v>
      </c>
      <c r="AD6" s="13" t="n">
        <f aca="false">COUNTIF($E$4:$E$33,AC6)</f>
        <v>0</v>
      </c>
      <c r="AE6" s="13" t="n">
        <f aca="false">SUMIF($E$4:$E$33,AC6,$G$4:$G$33)</f>
        <v>0</v>
      </c>
    </row>
    <row r="7" customFormat="false" ht="21.75" hidden="false" customHeight="true" outlineLevel="0" collapsed="false">
      <c r="A7" s="21" t="s">
        <v>27</v>
      </c>
      <c r="B7" s="7" t="s">
        <v>23</v>
      </c>
      <c r="C7" s="7" t="s">
        <v>28</v>
      </c>
      <c r="D7" s="8" t="s">
        <v>25</v>
      </c>
      <c r="E7" s="15" t="s">
        <v>19</v>
      </c>
      <c r="F7" s="16" t="str">
        <f aca="false" t="array" ref="F7:F7">IF($C7="","",IFERROR(_xlfn.TEXTJOIN(" + ",TRUE(),IF(Répartition!$A$4:$A$103=$C7,Répartition!$B$4:$B$103&amp;" ("&amp;Répartition!$C$4:$C$103&amp;"h)","")),""))</f>
        <v>Client A (500h)</v>
      </c>
      <c r="G7" s="16" t="n">
        <f aca="false">IF(COUNT(J7:AA7)=0,"",SUM(J7:AA7))</f>
        <v>500</v>
      </c>
      <c r="H7" s="17" t="n">
        <f aca="false">IFERROR(INDEX($J$3:$AA$3,MATCH(TRUE(),INDEX(J7:AA7&gt;0,0),0)),"")</f>
        <v>46357</v>
      </c>
      <c r="I7" s="17" t="n">
        <f aca="false">IF(SUMPRODUCT(MAX((J7:AA7&gt;0)*COLUMN(J7:AA7)))=0,"",INDEX($J$3:$AA$3,SUMPRODUCT(MAX((J7:AA7&gt;0)*COLUMN(J7:AA7)))-COLUMN($J$3)+1))</f>
        <v>46388</v>
      </c>
      <c r="J7" s="15"/>
      <c r="K7" s="15"/>
      <c r="L7" s="15" t="n">
        <v>0</v>
      </c>
      <c r="M7" s="15" t="n">
        <v>240</v>
      </c>
      <c r="N7" s="15" t="n">
        <v>260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C7" s="5" t="s">
        <v>29</v>
      </c>
      <c r="AD7" s="5"/>
      <c r="AE7" s="22" t="n">
        <f aca="false">IFERROR(AE6/SUM(AE4:AE6),0)</f>
        <v>0</v>
      </c>
    </row>
    <row r="8" customFormat="false" ht="21.75" hidden="false" customHeight="true" outlineLevel="0" collapsed="false">
      <c r="A8" s="23" t="s">
        <v>30</v>
      </c>
      <c r="B8" s="7" t="s">
        <v>15</v>
      </c>
      <c r="C8" s="7" t="s">
        <v>31</v>
      </c>
      <c r="D8" s="8" t="s">
        <v>17</v>
      </c>
      <c r="E8" s="9" t="s">
        <v>19</v>
      </c>
      <c r="F8" s="10" t="str">
        <f aca="false" t="array" ref="F8:F8">IF($C8="","",IFERROR(_xlfn.TEXTJOIN(" + ",TRUE(),IF(Répartition!$A$4:$A$103=$C8,Répartition!$B$4:$B$103&amp;" ("&amp;Répartition!$C$4:$C$103&amp;"h)","")),""))</f>
        <v>Client A (220h) + Client B (100h)</v>
      </c>
      <c r="G8" s="10" t="n">
        <f aca="false">IF(COUNT(J8:AA8)=0,"",SUM(J8:AA8))</f>
        <v>320</v>
      </c>
      <c r="H8" s="11" t="n">
        <f aca="false">IFERROR(INDEX($J$3:$AA$3,MATCH(TRUE(),INDEX(J8:AA8&gt;0,0),0)),"")</f>
        <v>46388</v>
      </c>
      <c r="I8" s="11" t="n">
        <f aca="false">IF(SUMPRODUCT(MAX((J8:AA8&gt;0)*COLUMN(J8:AA8)))=0,"",INDEX($J$3:$AA$3,SUMPRODUCT(MAX((J8:AA8&gt;0)*COLUMN(J8:AA8)))-COLUMN($J$3)+1))</f>
        <v>46419</v>
      </c>
      <c r="J8" s="9"/>
      <c r="K8" s="9"/>
      <c r="L8" s="9"/>
      <c r="M8" s="9"/>
      <c r="N8" s="9" t="n">
        <v>60</v>
      </c>
      <c r="O8" s="9" t="n">
        <v>260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customFormat="false" ht="21.75" hidden="false" customHeight="true" outlineLevel="0" collapsed="false">
      <c r="A9" s="24"/>
      <c r="B9" s="7"/>
      <c r="C9" s="7"/>
      <c r="D9" s="8"/>
      <c r="E9" s="15"/>
      <c r="F9" s="16" t="str">
        <f aca="false" t="array" ref="F9:F9">IF($C9="","",IFERROR(_xlfn.TEXTJOIN(" + ",TRUE(),IF(Répartition!$A$4:$A$103=$C9,Répartition!$B$4:$B$103&amp;" ("&amp;Répartition!$C$4:$C$103&amp;"h)","")),""))</f>
        <v/>
      </c>
      <c r="G9" s="16" t="str">
        <f aca="false">IF(COUNT(J9:AA9)=0,"",SUM(J9:AA9))</f>
        <v/>
      </c>
      <c r="H9" s="17" t="str">
        <f aca="false">IFERROR(INDEX($J$3:$AA$3,MATCH(TRUE(),INDEX(J9:AA9&gt;0,0),0)),"")</f>
        <v/>
      </c>
      <c r="I9" s="17" t="str">
        <f aca="false">IF(SUMPRODUCT(MAX((J9:AA9&gt;0)*COLUMN(J9:AA9)))=0,"",INDEX($J$3:$AA$3,SUMPRODUCT(MAX((J9:AA9&gt;0)*COLUMN(J9:AA9)))-COLUMN($J$3)+1))</f>
        <v/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customFormat="false" ht="21.75" hidden="false" customHeight="true" outlineLevel="0" collapsed="false">
      <c r="A10" s="25"/>
      <c r="B10" s="7"/>
      <c r="C10" s="7"/>
      <c r="D10" s="8"/>
      <c r="E10" s="9"/>
      <c r="F10" s="10" t="str">
        <f aca="false" t="array" ref="F10:F10">IF($C10="","",IFERROR(_xlfn.TEXTJOIN(" + ",TRUE(),IF(Répartition!$A$4:$A$103=$C10,Répartition!$B$4:$B$103&amp;" ("&amp;Répartition!$C$4:$C$103&amp;"h)","")),""))</f>
        <v/>
      </c>
      <c r="G10" s="10" t="str">
        <f aca="false">IF(COUNT(J10:AA10)=0,"",SUM(J10:AA10))</f>
        <v/>
      </c>
      <c r="H10" s="11" t="str">
        <f aca="false">IFERROR(INDEX($J$3:$AA$3,MATCH(TRUE(),INDEX(J10:AA10&gt;0,0),0)),"")</f>
        <v/>
      </c>
      <c r="I10" s="11" t="str">
        <f aca="false">IF(SUMPRODUCT(MAX((J10:AA10&gt;0)*COLUMN(J10:AA10)))=0,"",INDEX($J$3:$AA$3,SUMPRODUCT(MAX((J10:AA10&gt;0)*COLUMN(J10:AA10)))-COLUMN($J$3)+1))</f>
        <v/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customFormat="false" ht="21.75" hidden="false" customHeight="true" outlineLevel="0" collapsed="false">
      <c r="A11" s="26"/>
      <c r="B11" s="7"/>
      <c r="C11" s="7"/>
      <c r="D11" s="8"/>
      <c r="E11" s="15"/>
      <c r="F11" s="16" t="str">
        <f aca="false" t="array" ref="F11:F11">IF($C11="","",IFERROR(_xlfn.TEXTJOIN(" + ",TRUE(),IF(Répartition!$A$4:$A$103=$C11,Répartition!$B$4:$B$103&amp;" ("&amp;Répartition!$C$4:$C$103&amp;"h)","")),""))</f>
        <v/>
      </c>
      <c r="G11" s="16" t="str">
        <f aca="false">IF(COUNT(J11:AA11)=0,"",SUM(J11:AA11))</f>
        <v/>
      </c>
      <c r="H11" s="17" t="str">
        <f aca="false">IFERROR(INDEX($J$3:$AA$3,MATCH(TRUE(),INDEX(J11:AA11&gt;0,0),0)),"")</f>
        <v/>
      </c>
      <c r="I11" s="17" t="str">
        <f aca="false">IF(SUMPRODUCT(MAX((J11:AA11&gt;0)*COLUMN(J11:AA11)))=0,"",INDEX($J$3:$AA$3,SUMPRODUCT(MAX((J11:AA11&gt;0)*COLUMN(J11:AA11)))-COLUMN($J$3)+1))</f>
        <v/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customFormat="false" ht="21.75" hidden="false" customHeight="true" outlineLevel="0" collapsed="false">
      <c r="A12" s="27"/>
      <c r="B12" s="7"/>
      <c r="C12" s="7"/>
      <c r="D12" s="8"/>
      <c r="E12" s="9"/>
      <c r="F12" s="10" t="str">
        <f aca="false" t="array" ref="F12:F12">IF($C12="","",IFERROR(_xlfn.TEXTJOIN(" + ",TRUE(),IF(Répartition!$A$4:$A$103=$C12,Répartition!$B$4:$B$103&amp;" ("&amp;Répartition!$C$4:$C$103&amp;"h)","")),""))</f>
        <v/>
      </c>
      <c r="G12" s="10" t="str">
        <f aca="false">IF(COUNT(J12:AA12)=0,"",SUM(J12:AA12))</f>
        <v/>
      </c>
      <c r="H12" s="11" t="str">
        <f aca="false">IFERROR(INDEX($J$3:$AA$3,MATCH(TRUE(),INDEX(J12:AA12&gt;0,0),0)),"")</f>
        <v/>
      </c>
      <c r="I12" s="11" t="str">
        <f aca="false">IF(SUMPRODUCT(MAX((J12:AA12&gt;0)*COLUMN(J12:AA12)))=0,"",INDEX($J$3:$AA$3,SUMPRODUCT(MAX((J12:AA12&gt;0)*COLUMN(J12:AA12)))-COLUMN($J$3)+1))</f>
        <v/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Format="false" ht="21.75" hidden="false" customHeight="true" outlineLevel="0" collapsed="false">
      <c r="A13" s="28"/>
      <c r="B13" s="7"/>
      <c r="C13" s="7"/>
      <c r="D13" s="8"/>
      <c r="E13" s="15"/>
      <c r="F13" s="16" t="str">
        <f aca="false" t="array" ref="F13:F13">IF($C13="","",IFERROR(_xlfn.TEXTJOIN(" + ",TRUE(),IF(Répartition!$A$4:$A$103=$C13,Répartition!$B$4:$B$103&amp;" ("&amp;Répartition!$C$4:$C$103&amp;"h)","")),""))</f>
        <v/>
      </c>
      <c r="G13" s="16" t="str">
        <f aca="false">IF(COUNT(J13:AA13)=0,"",SUM(J13:AA13))</f>
        <v/>
      </c>
      <c r="H13" s="17" t="str">
        <f aca="false">IFERROR(INDEX($J$3:$AA$3,MATCH(TRUE(),INDEX(J13:AA13&gt;0,0),0)),"")</f>
        <v/>
      </c>
      <c r="I13" s="17" t="str">
        <f aca="false">IF(SUMPRODUCT(MAX((J13:AA13&gt;0)*COLUMN(J13:AA13)))=0,"",INDEX($J$3:$AA$3,SUMPRODUCT(MAX((J13:AA13&gt;0)*COLUMN(J13:AA13)))-COLUMN($J$3)+1))</f>
        <v/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customFormat="false" ht="21.75" hidden="false" customHeight="true" outlineLevel="0" collapsed="false">
      <c r="A14" s="29"/>
      <c r="B14" s="7"/>
      <c r="C14" s="7"/>
      <c r="D14" s="8"/>
      <c r="E14" s="9"/>
      <c r="F14" s="10" t="str">
        <f aca="false" t="array" ref="F14:F14">IF($C14="","",IFERROR(_xlfn.TEXTJOIN(" + ",TRUE(),IF(Répartition!$A$4:$A$103=$C14,Répartition!$B$4:$B$103&amp;" ("&amp;Répartition!$C$4:$C$103&amp;"h)","")),""))</f>
        <v/>
      </c>
      <c r="G14" s="10" t="str">
        <f aca="false">IF(COUNT(J14:AA14)=0,"",SUM(J14:AA14))</f>
        <v/>
      </c>
      <c r="H14" s="11" t="str">
        <f aca="false">IFERROR(INDEX($J$3:$AA$3,MATCH(TRUE(),INDEX(J14:AA14&gt;0,0),0)),"")</f>
        <v/>
      </c>
      <c r="I14" s="11" t="str">
        <f aca="false">IF(SUMPRODUCT(MAX((J14:AA14&gt;0)*COLUMN(J14:AA14)))=0,"",INDEX($J$3:$AA$3,SUMPRODUCT(MAX((J14:AA14&gt;0)*COLUMN(J14:AA14)))-COLUMN($J$3)+1))</f>
        <v/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21.75" hidden="false" customHeight="true" outlineLevel="0" collapsed="false">
      <c r="A15" s="30"/>
      <c r="B15" s="7"/>
      <c r="C15" s="7"/>
      <c r="D15" s="8"/>
      <c r="E15" s="15"/>
      <c r="F15" s="16" t="str">
        <f aca="false" t="array" ref="F15:F15">IF($C15="","",IFERROR(_xlfn.TEXTJOIN(" + ",TRUE(),IF(Répartition!$A$4:$A$103=$C15,Répartition!$B$4:$B$103&amp;" ("&amp;Répartition!$C$4:$C$103&amp;"h)","")),""))</f>
        <v/>
      </c>
      <c r="G15" s="16" t="str">
        <f aca="false">IF(COUNT(J15:AA15)=0,"",SUM(J15:AA15))</f>
        <v/>
      </c>
      <c r="H15" s="17" t="str">
        <f aca="false">IFERROR(INDEX($J$3:$AA$3,MATCH(TRUE(),INDEX(J15:AA15&gt;0,0),0)),"")</f>
        <v/>
      </c>
      <c r="I15" s="17" t="str">
        <f aca="false">IF(SUMPRODUCT(MAX((J15:AA15&gt;0)*COLUMN(J15:AA15)))=0,"",INDEX($J$3:$AA$3,SUMPRODUCT(MAX((J15:AA15&gt;0)*COLUMN(J15:AA15)))-COLUMN($J$3)+1))</f>
        <v/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customFormat="false" ht="21.75" hidden="false" customHeight="true" outlineLevel="0" collapsed="false">
      <c r="A16" s="31"/>
      <c r="B16" s="7"/>
      <c r="C16" s="7"/>
      <c r="D16" s="8"/>
      <c r="E16" s="9"/>
      <c r="F16" s="10" t="str">
        <f aca="false" t="array" ref="F16:F16">IF($C16="","",IFERROR(_xlfn.TEXTJOIN(" + ",TRUE(),IF(Répartition!$A$4:$A$103=$C16,Répartition!$B$4:$B$103&amp;" ("&amp;Répartition!$C$4:$C$103&amp;"h)","")),""))</f>
        <v/>
      </c>
      <c r="G16" s="10" t="str">
        <f aca="false">IF(COUNT(J16:AA16)=0,"",SUM(J16:AA16))</f>
        <v/>
      </c>
      <c r="H16" s="11" t="str">
        <f aca="false">IFERROR(INDEX($J$3:$AA$3,MATCH(TRUE(),INDEX(J16:AA16&gt;0,0),0)),"")</f>
        <v/>
      </c>
      <c r="I16" s="11" t="str">
        <f aca="false">IF(SUMPRODUCT(MAX((J16:AA16&gt;0)*COLUMN(J16:AA16)))=0,"",INDEX($J$3:$AA$3,SUMPRODUCT(MAX((J16:AA16&gt;0)*COLUMN(J16:AA16)))-COLUMN($J$3)+1))</f>
        <v/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customFormat="false" ht="21.75" hidden="false" customHeight="true" outlineLevel="0" collapsed="false">
      <c r="A17" s="32"/>
      <c r="B17" s="7"/>
      <c r="C17" s="7"/>
      <c r="D17" s="8"/>
      <c r="E17" s="15"/>
      <c r="F17" s="16" t="str">
        <f aca="false" t="array" ref="F17:F17">IF($C17="","",IFERROR(_xlfn.TEXTJOIN(" + ",TRUE(),IF(Répartition!$A$4:$A$103=$C17,Répartition!$B$4:$B$103&amp;" ("&amp;Répartition!$C$4:$C$103&amp;"h)","")),""))</f>
        <v/>
      </c>
      <c r="G17" s="16" t="str">
        <f aca="false">IF(COUNT(J17:AA17)=0,"",SUM(J17:AA17))</f>
        <v/>
      </c>
      <c r="H17" s="17" t="str">
        <f aca="false">IFERROR(INDEX($J$3:$AA$3,MATCH(TRUE(),INDEX(J17:AA17&gt;0,0),0)),"")</f>
        <v/>
      </c>
      <c r="I17" s="17" t="str">
        <f aca="false">IF(SUMPRODUCT(MAX((J17:AA17&gt;0)*COLUMN(J17:AA17)))=0,"",INDEX($J$3:$AA$3,SUMPRODUCT(MAX((J17:AA17&gt;0)*COLUMN(J17:AA17)))-COLUMN($J$3)+1))</f>
        <v/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customFormat="false" ht="21.75" hidden="false" customHeight="true" outlineLevel="0" collapsed="false">
      <c r="A18" s="33"/>
      <c r="B18" s="7"/>
      <c r="C18" s="7"/>
      <c r="D18" s="8"/>
      <c r="E18" s="9"/>
      <c r="F18" s="10" t="str">
        <f aca="false" t="array" ref="F18:F18">IF($C18="","",IFERROR(_xlfn.TEXTJOIN(" + ",TRUE(),IF(Répartition!$A$4:$A$103=$C18,Répartition!$B$4:$B$103&amp;" ("&amp;Répartition!$C$4:$C$103&amp;"h)","")),""))</f>
        <v/>
      </c>
      <c r="G18" s="10" t="str">
        <f aca="false">IF(COUNT(J18:AA18)=0,"",SUM(J18:AA18))</f>
        <v/>
      </c>
      <c r="H18" s="11" t="str">
        <f aca="false">IFERROR(INDEX($J$3:$AA$3,MATCH(TRUE(),INDEX(J18:AA18&gt;0,0),0)),"")</f>
        <v/>
      </c>
      <c r="I18" s="11" t="str">
        <f aca="false">IF(SUMPRODUCT(MAX((J18:AA18&gt;0)*COLUMN(J18:AA18)))=0,"",INDEX($J$3:$AA$3,SUMPRODUCT(MAX((J18:AA18&gt;0)*COLUMN(J18:AA18)))-COLUMN($J$3)+1))</f>
        <v/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customFormat="false" ht="21.75" hidden="false" customHeight="true" outlineLevel="0" collapsed="false">
      <c r="A19" s="34"/>
      <c r="B19" s="7"/>
      <c r="C19" s="7"/>
      <c r="D19" s="8"/>
      <c r="E19" s="15"/>
      <c r="F19" s="16" t="str">
        <f aca="false" t="array" ref="F19:F19">IF($C19="","",IFERROR(_xlfn.TEXTJOIN(" + ",TRUE(),IF(Répartition!$A$4:$A$103=$C19,Répartition!$B$4:$B$103&amp;" ("&amp;Répartition!$C$4:$C$103&amp;"h)","")),""))</f>
        <v/>
      </c>
      <c r="G19" s="16" t="str">
        <f aca="false">IF(COUNT(J19:AA19)=0,"",SUM(J19:AA19))</f>
        <v/>
      </c>
      <c r="H19" s="17" t="str">
        <f aca="false">IFERROR(INDEX($J$3:$AA$3,MATCH(TRUE(),INDEX(J19:AA19&gt;0,0),0)),"")</f>
        <v/>
      </c>
      <c r="I19" s="17" t="str">
        <f aca="false">IF(SUMPRODUCT(MAX((J19:AA19&gt;0)*COLUMN(J19:AA19)))=0,"",INDEX($J$3:$AA$3,SUMPRODUCT(MAX((J19:AA19&gt;0)*COLUMN(J19:AA19)))-COLUMN($J$3)+1))</f>
        <v/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customFormat="false" ht="21.75" hidden="false" customHeight="true" outlineLevel="0" collapsed="false">
      <c r="A20" s="35"/>
      <c r="B20" s="7"/>
      <c r="C20" s="7"/>
      <c r="D20" s="8"/>
      <c r="E20" s="9"/>
      <c r="F20" s="10" t="str">
        <f aca="false" t="array" ref="F20:F20">IF($C20="","",IFERROR(_xlfn.TEXTJOIN(" + ",TRUE(),IF(Répartition!$A$4:$A$103=$C20,Répartition!$B$4:$B$103&amp;" ("&amp;Répartition!$C$4:$C$103&amp;"h)","")),""))</f>
        <v/>
      </c>
      <c r="G20" s="10" t="str">
        <f aca="false">IF(COUNT(J20:AA20)=0,"",SUM(J20:AA20))</f>
        <v/>
      </c>
      <c r="H20" s="11" t="str">
        <f aca="false">IFERROR(INDEX($J$3:$AA$3,MATCH(TRUE(),INDEX(J20:AA20&gt;0,0),0)),"")</f>
        <v/>
      </c>
      <c r="I20" s="11" t="str">
        <f aca="false">IF(SUMPRODUCT(MAX((J20:AA20&gt;0)*COLUMN(J20:AA20)))=0,"",INDEX($J$3:$AA$3,SUMPRODUCT(MAX((J20:AA20&gt;0)*COLUMN(J20:AA20)))-COLUMN($J$3)+1))</f>
        <v/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customFormat="false" ht="21.75" hidden="false" customHeight="true" outlineLevel="0" collapsed="false">
      <c r="A21" s="36"/>
      <c r="B21" s="7"/>
      <c r="C21" s="7"/>
      <c r="D21" s="8"/>
      <c r="E21" s="15"/>
      <c r="F21" s="16" t="str">
        <f aca="false" t="array" ref="F21:F21">IF($C21="","",IFERROR(_xlfn.TEXTJOIN(" + ",TRUE(),IF(Répartition!$A$4:$A$103=$C21,Répartition!$B$4:$B$103&amp;" ("&amp;Répartition!$C$4:$C$103&amp;"h)","")),""))</f>
        <v/>
      </c>
      <c r="G21" s="16" t="str">
        <f aca="false">IF(COUNT(J21:AA21)=0,"",SUM(J21:AA21))</f>
        <v/>
      </c>
      <c r="H21" s="17" t="str">
        <f aca="false">IFERROR(INDEX($J$3:$AA$3,MATCH(TRUE(),INDEX(J21:AA21&gt;0,0),0)),"")</f>
        <v/>
      </c>
      <c r="I21" s="17" t="str">
        <f aca="false">IF(SUMPRODUCT(MAX((J21:AA21&gt;0)*COLUMN(J21:AA21)))=0,"",INDEX($J$3:$AA$3,SUMPRODUCT(MAX((J21:AA21&gt;0)*COLUMN(J21:AA21)))-COLUMN($J$3)+1))</f>
        <v/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customFormat="false" ht="21.75" hidden="false" customHeight="true" outlineLevel="0" collapsed="false">
      <c r="A22" s="37"/>
      <c r="B22" s="7"/>
      <c r="C22" s="7"/>
      <c r="D22" s="8"/>
      <c r="E22" s="9"/>
      <c r="F22" s="10" t="str">
        <f aca="false" t="array" ref="F22:F22">IF($C22="","",IFERROR(_xlfn.TEXTJOIN(" + ",TRUE(),IF(Répartition!$A$4:$A$103=$C22,Répartition!$B$4:$B$103&amp;" ("&amp;Répartition!$C$4:$C$103&amp;"h)","")),""))</f>
        <v/>
      </c>
      <c r="G22" s="10" t="str">
        <f aca="false">IF(COUNT(J22:AA22)=0,"",SUM(J22:AA22))</f>
        <v/>
      </c>
      <c r="H22" s="11" t="str">
        <f aca="false">IFERROR(INDEX($J$3:$AA$3,MATCH(TRUE(),INDEX(J22:AA22&gt;0,0),0)),"")</f>
        <v/>
      </c>
      <c r="I22" s="11" t="str">
        <f aca="false">IF(SUMPRODUCT(MAX((J22:AA22&gt;0)*COLUMN(J22:AA22)))=0,"",INDEX($J$3:$AA$3,SUMPRODUCT(MAX((J22:AA22&gt;0)*COLUMN(J22:AA22)))-COLUMN($J$3)+1))</f>
        <v/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customFormat="false" ht="21.75" hidden="false" customHeight="true" outlineLevel="0" collapsed="false">
      <c r="A23" s="38"/>
      <c r="B23" s="7"/>
      <c r="C23" s="7"/>
      <c r="D23" s="8"/>
      <c r="E23" s="15"/>
      <c r="F23" s="16" t="str">
        <f aca="false" t="array" ref="F23:F23">IF($C23="","",IFERROR(_xlfn.TEXTJOIN(" + ",TRUE(),IF(Répartition!$A$4:$A$103=$C23,Répartition!$B$4:$B$103&amp;" ("&amp;Répartition!$C$4:$C$103&amp;"h)","")),""))</f>
        <v/>
      </c>
      <c r="G23" s="16" t="str">
        <f aca="false">IF(COUNT(J23:AA23)=0,"",SUM(J23:AA23))</f>
        <v/>
      </c>
      <c r="H23" s="17" t="str">
        <f aca="false">IFERROR(INDEX($J$3:$AA$3,MATCH(TRUE(),INDEX(J23:AA23&gt;0,0),0)),"")</f>
        <v/>
      </c>
      <c r="I23" s="17" t="str">
        <f aca="false">IF(SUMPRODUCT(MAX((J23:AA23&gt;0)*COLUMN(J23:AA23)))=0,"",INDEX($J$3:$AA$3,SUMPRODUCT(MAX((J23:AA23&gt;0)*COLUMN(J23:AA23)))-COLUMN($J$3)+1))</f>
        <v/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customFormat="false" ht="21.75" hidden="false" customHeight="true" outlineLevel="0" collapsed="false">
      <c r="A24" s="39"/>
      <c r="B24" s="7"/>
      <c r="C24" s="7"/>
      <c r="D24" s="8"/>
      <c r="E24" s="9"/>
      <c r="F24" s="10" t="str">
        <f aca="false" t="array" ref="F24:F24">IF($C24="","",IFERROR(_xlfn.TEXTJOIN(" + ",TRUE(),IF(Répartition!$A$4:$A$103=$C24,Répartition!$B$4:$B$103&amp;" ("&amp;Répartition!$C$4:$C$103&amp;"h)","")),""))</f>
        <v/>
      </c>
      <c r="G24" s="10" t="str">
        <f aca="false">IF(COUNT(J24:AA24)=0,"",SUM(J24:AA24))</f>
        <v/>
      </c>
      <c r="H24" s="11" t="str">
        <f aca="false">IFERROR(INDEX($J$3:$AA$3,MATCH(TRUE(),INDEX(J24:AA24&gt;0,0),0)),"")</f>
        <v/>
      </c>
      <c r="I24" s="11" t="str">
        <f aca="false">IF(SUMPRODUCT(MAX((J24:AA24&gt;0)*COLUMN(J24:AA24)))=0,"",INDEX($J$3:$AA$3,SUMPRODUCT(MAX((J24:AA24&gt;0)*COLUMN(J24:AA24)))-COLUMN($J$3)+1))</f>
        <v/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customFormat="false" ht="21.75" hidden="false" customHeight="true" outlineLevel="0" collapsed="false">
      <c r="A25" s="40"/>
      <c r="B25" s="7"/>
      <c r="C25" s="7"/>
      <c r="D25" s="8"/>
      <c r="E25" s="15"/>
      <c r="F25" s="16" t="str">
        <f aca="false" t="array" ref="F25:F25">IF($C25="","",IFERROR(_xlfn.TEXTJOIN(" + ",TRUE(),IF(Répartition!$A$4:$A$103=$C25,Répartition!$B$4:$B$103&amp;" ("&amp;Répartition!$C$4:$C$103&amp;"h)","")),""))</f>
        <v/>
      </c>
      <c r="G25" s="16" t="str">
        <f aca="false">IF(COUNT(J25:AA25)=0,"",SUM(J25:AA25))</f>
        <v/>
      </c>
      <c r="H25" s="17" t="str">
        <f aca="false">IFERROR(INDEX($J$3:$AA$3,MATCH(TRUE(),INDEX(J25:AA25&gt;0,0),0)),"")</f>
        <v/>
      </c>
      <c r="I25" s="17" t="str">
        <f aca="false">IF(SUMPRODUCT(MAX((J25:AA25&gt;0)*COLUMN(J25:AA25)))=0,"",INDEX($J$3:$AA$3,SUMPRODUCT(MAX((J25:AA25&gt;0)*COLUMN(J25:AA25)))-COLUMN($J$3)+1))</f>
        <v/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customFormat="false" ht="21.75" hidden="false" customHeight="true" outlineLevel="0" collapsed="false">
      <c r="A26" s="41"/>
      <c r="B26" s="7"/>
      <c r="C26" s="7"/>
      <c r="D26" s="8"/>
      <c r="E26" s="9"/>
      <c r="F26" s="10" t="str">
        <f aca="false" t="array" ref="F26:F26">IF($C26="","",IFERROR(_xlfn.TEXTJOIN(" + ",TRUE(),IF(Répartition!$A$4:$A$103=$C26,Répartition!$B$4:$B$103&amp;" ("&amp;Répartition!$C$4:$C$103&amp;"h)","")),""))</f>
        <v/>
      </c>
      <c r="G26" s="10" t="str">
        <f aca="false">IF(COUNT(J26:AA26)=0,"",SUM(J26:AA26))</f>
        <v/>
      </c>
      <c r="H26" s="11" t="str">
        <f aca="false">IFERROR(INDEX($J$3:$AA$3,MATCH(TRUE(),INDEX(J26:AA26&gt;0,0),0)),"")</f>
        <v/>
      </c>
      <c r="I26" s="11" t="str">
        <f aca="false">IF(SUMPRODUCT(MAX((J26:AA26&gt;0)*COLUMN(J26:AA26)))=0,"",INDEX($J$3:$AA$3,SUMPRODUCT(MAX((J26:AA26&gt;0)*COLUMN(J26:AA26)))-COLUMN($J$3)+1))</f>
        <v/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customFormat="false" ht="21.75" hidden="false" customHeight="true" outlineLevel="0" collapsed="false">
      <c r="A27" s="42"/>
      <c r="B27" s="7"/>
      <c r="C27" s="7"/>
      <c r="D27" s="8"/>
      <c r="E27" s="15"/>
      <c r="F27" s="16" t="str">
        <f aca="false" t="array" ref="F27:F27">IF($C27="","",IFERROR(_xlfn.TEXTJOIN(" + ",TRUE(),IF(Répartition!$A$4:$A$103=$C27,Répartition!$B$4:$B$103&amp;" ("&amp;Répartition!$C$4:$C$103&amp;"h)","")),""))</f>
        <v/>
      </c>
      <c r="G27" s="16" t="str">
        <f aca="false">IF(COUNT(J27:AA27)=0,"",SUM(J27:AA27))</f>
        <v/>
      </c>
      <c r="H27" s="17" t="str">
        <f aca="false">IFERROR(INDEX($J$3:$AA$3,MATCH(TRUE(),INDEX(J27:AA27&gt;0,0),0)),"")</f>
        <v/>
      </c>
      <c r="I27" s="17" t="str">
        <f aca="false">IF(SUMPRODUCT(MAX((J27:AA27&gt;0)*COLUMN(J27:AA27)))=0,"",INDEX($J$3:$AA$3,SUMPRODUCT(MAX((J27:AA27&gt;0)*COLUMN(J27:AA27)))-COLUMN($J$3)+1))</f>
        <v/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customFormat="false" ht="21.75" hidden="false" customHeight="true" outlineLevel="0" collapsed="false">
      <c r="A28" s="43"/>
      <c r="B28" s="7"/>
      <c r="C28" s="7"/>
      <c r="D28" s="8"/>
      <c r="E28" s="9"/>
      <c r="F28" s="10" t="str">
        <f aca="false" t="array" ref="F28:F28">IF($C28="","",IFERROR(_xlfn.TEXTJOIN(" + ",TRUE(),IF(Répartition!$A$4:$A$103=$C28,Répartition!$B$4:$B$103&amp;" ("&amp;Répartition!$C$4:$C$103&amp;"h)","")),""))</f>
        <v/>
      </c>
      <c r="G28" s="10" t="str">
        <f aca="false">IF(COUNT(J28:AA28)=0,"",SUM(J28:AA28))</f>
        <v/>
      </c>
      <c r="H28" s="11" t="str">
        <f aca="false">IFERROR(INDEX($J$3:$AA$3,MATCH(TRUE(),INDEX(J28:AA28&gt;0,0),0)),"")</f>
        <v/>
      </c>
      <c r="I28" s="11" t="str">
        <f aca="false">IF(SUMPRODUCT(MAX((J28:AA28&gt;0)*COLUMN(J28:AA28)))=0,"",INDEX($J$3:$AA$3,SUMPRODUCT(MAX((J28:AA28&gt;0)*COLUMN(J28:AA28)))-COLUMN($J$3)+1))</f>
        <v/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customFormat="false" ht="21.75" hidden="false" customHeight="true" outlineLevel="0" collapsed="false">
      <c r="A29" s="44"/>
      <c r="B29" s="7"/>
      <c r="C29" s="7"/>
      <c r="D29" s="8"/>
      <c r="E29" s="15"/>
      <c r="F29" s="16" t="str">
        <f aca="false" t="array" ref="F29:F29">IF($C29="","",IFERROR(_xlfn.TEXTJOIN(" + ",TRUE(),IF(Répartition!$A$4:$A$103=$C29,Répartition!$B$4:$B$103&amp;" ("&amp;Répartition!$C$4:$C$103&amp;"h)","")),""))</f>
        <v/>
      </c>
      <c r="G29" s="16" t="str">
        <f aca="false">IF(COUNT(J29:AA29)=0,"",SUM(J29:AA29))</f>
        <v/>
      </c>
      <c r="H29" s="17" t="str">
        <f aca="false">IFERROR(INDEX($J$3:$AA$3,MATCH(TRUE(),INDEX(J29:AA29&gt;0,0),0)),"")</f>
        <v/>
      </c>
      <c r="I29" s="17" t="str">
        <f aca="false">IF(SUMPRODUCT(MAX((J29:AA29&gt;0)*COLUMN(J29:AA29)))=0,"",INDEX($J$3:$AA$3,SUMPRODUCT(MAX((J29:AA29&gt;0)*COLUMN(J29:AA29)))-COLUMN($J$3)+1))</f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customFormat="false" ht="21.75" hidden="false" customHeight="true" outlineLevel="0" collapsed="false">
      <c r="A30" s="45"/>
      <c r="B30" s="7"/>
      <c r="C30" s="7"/>
      <c r="D30" s="8"/>
      <c r="E30" s="9"/>
      <c r="F30" s="10" t="str">
        <f aca="false" t="array" ref="F30:F30">IF($C30="","",IFERROR(_xlfn.TEXTJOIN(" + ",TRUE(),IF(Répartition!$A$4:$A$103=$C30,Répartition!$B$4:$B$103&amp;" ("&amp;Répartition!$C$4:$C$103&amp;"h)","")),""))</f>
        <v/>
      </c>
      <c r="G30" s="10" t="str">
        <f aca="false">IF(COUNT(J30:AA30)=0,"",SUM(J30:AA30))</f>
        <v/>
      </c>
      <c r="H30" s="11" t="str">
        <f aca="false">IFERROR(INDEX($J$3:$AA$3,MATCH(TRUE(),INDEX(J30:AA30&gt;0,0),0)),"")</f>
        <v/>
      </c>
      <c r="I30" s="11" t="str">
        <f aca="false">IF(SUMPRODUCT(MAX((J30:AA30&gt;0)*COLUMN(J30:AA30)))=0,"",INDEX($J$3:$AA$3,SUMPRODUCT(MAX((J30:AA30&gt;0)*COLUMN(J30:AA30)))-COLUMN($J$3)+1))</f>
        <v/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customFormat="false" ht="21.75" hidden="false" customHeight="true" outlineLevel="0" collapsed="false">
      <c r="A31" s="46"/>
      <c r="B31" s="7"/>
      <c r="C31" s="7"/>
      <c r="D31" s="8"/>
      <c r="E31" s="15"/>
      <c r="F31" s="16" t="str">
        <f aca="false" t="array" ref="F31:F31">IF($C31="","",IFERROR(_xlfn.TEXTJOIN(" + ",TRUE(),IF(Répartition!$A$4:$A$103=$C31,Répartition!$B$4:$B$103&amp;" ("&amp;Répartition!$C$4:$C$103&amp;"h)","")),""))</f>
        <v/>
      </c>
      <c r="G31" s="16" t="str">
        <f aca="false">IF(COUNT(J31:AA31)=0,"",SUM(J31:AA31))</f>
        <v/>
      </c>
      <c r="H31" s="17" t="str">
        <f aca="false">IFERROR(INDEX($J$3:$AA$3,MATCH(TRUE(),INDEX(J31:AA31&gt;0,0),0)),"")</f>
        <v/>
      </c>
      <c r="I31" s="17" t="str">
        <f aca="false">IF(SUMPRODUCT(MAX((J31:AA31&gt;0)*COLUMN(J31:AA31)))=0,"",INDEX($J$3:$AA$3,SUMPRODUCT(MAX((J31:AA31&gt;0)*COLUMN(J31:AA31)))-COLUMN($J$3)+1))</f>
        <v/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customFormat="false" ht="21.75" hidden="false" customHeight="true" outlineLevel="0" collapsed="false">
      <c r="A32" s="47"/>
      <c r="B32" s="7"/>
      <c r="C32" s="7"/>
      <c r="D32" s="8"/>
      <c r="E32" s="9"/>
      <c r="F32" s="10" t="str">
        <f aca="false" t="array" ref="F32:F32">IF($C32="","",IFERROR(_xlfn.TEXTJOIN(" + ",TRUE(),IF(Répartition!$A$4:$A$103=$C32,Répartition!$B$4:$B$103&amp;" ("&amp;Répartition!$C$4:$C$103&amp;"h)","")),""))</f>
        <v/>
      </c>
      <c r="G32" s="10" t="str">
        <f aca="false">IF(COUNT(J32:AA32)=0,"",SUM(J32:AA32))</f>
        <v/>
      </c>
      <c r="H32" s="11" t="str">
        <f aca="false">IFERROR(INDEX($J$3:$AA$3,MATCH(TRUE(),INDEX(J32:AA32&gt;0,0),0)),"")</f>
        <v/>
      </c>
      <c r="I32" s="11" t="str">
        <f aca="false">IF(SUMPRODUCT(MAX((J32:AA32&gt;0)*COLUMN(J32:AA32)))=0,"",INDEX($J$3:$AA$3,SUMPRODUCT(MAX((J32:AA32&gt;0)*COLUMN(J32:AA32)))-COLUMN($J$3)+1))</f>
        <v/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customFormat="false" ht="21.75" hidden="false" customHeight="true" outlineLevel="0" collapsed="false">
      <c r="A33" s="48"/>
      <c r="B33" s="7"/>
      <c r="C33" s="7"/>
      <c r="D33" s="8"/>
      <c r="E33" s="15"/>
      <c r="F33" s="16" t="str">
        <f aca="false" t="array" ref="F33:F33">IF($C33="","",IFERROR(_xlfn.TEXTJOIN(" + ",TRUE(),IF(Répartition!$A$4:$A$103=$C33,Répartition!$B$4:$B$103&amp;" ("&amp;Répartition!$C$4:$C$103&amp;"h)","")),""))</f>
        <v/>
      </c>
      <c r="G33" s="16" t="str">
        <f aca="false">IF(COUNT(J33:AA33)=0,"",SUM(J33:AA33))</f>
        <v/>
      </c>
      <c r="H33" s="17" t="str">
        <f aca="false">IFERROR(INDEX($J$3:$AA$3,MATCH(TRUE(),INDEX(J33:AA33&gt;0,0),0)),"")</f>
        <v/>
      </c>
      <c r="I33" s="17" t="str">
        <f aca="false">IF(SUMPRODUCT(MAX((J33:AA33&gt;0)*COLUMN(J33:AA33)))=0,"",INDEX($J$3:$AA$3,SUMPRODUCT(MAX((J33:AA33&gt;0)*COLUMN(J33:AA33)))-COLUMN($J$3)+1))</f>
        <v/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customFormat="false" ht="15" hidden="false" customHeight="false" outlineLevel="0" collapsed="false">
      <c r="A34" s="49" t="s">
        <v>32</v>
      </c>
      <c r="B34" s="49"/>
      <c r="C34" s="49"/>
      <c r="D34" s="50"/>
      <c r="E34" s="50"/>
      <c r="F34" s="50"/>
      <c r="G34" s="50" t="n">
        <f aca="false">SUM(G4:G33)</f>
        <v>1620</v>
      </c>
      <c r="H34" s="50"/>
      <c r="I34" s="50"/>
      <c r="J34" s="50" t="n">
        <f aca="false">SUM(J4:J33)</f>
        <v>80</v>
      </c>
      <c r="K34" s="50" t="n">
        <f aca="false">SUM(K4:K33)</f>
        <v>320</v>
      </c>
      <c r="L34" s="50" t="n">
        <f aca="false">SUM(L4:L33)</f>
        <v>320</v>
      </c>
      <c r="M34" s="50" t="n">
        <f aca="false">SUM(M4:M33)</f>
        <v>320</v>
      </c>
      <c r="N34" s="50" t="n">
        <f aca="false">SUM(N4:N33)</f>
        <v>320</v>
      </c>
      <c r="O34" s="50" t="n">
        <f aca="false">SUM(O4:O33)</f>
        <v>260</v>
      </c>
      <c r="P34" s="50" t="n">
        <f aca="false">SUM(P4:P33)</f>
        <v>0</v>
      </c>
      <c r="Q34" s="50" t="n">
        <f aca="false">SUM(Q4:Q33)</f>
        <v>0</v>
      </c>
      <c r="R34" s="50" t="n">
        <f aca="false">SUM(R4:R33)</f>
        <v>0</v>
      </c>
      <c r="S34" s="50" t="n">
        <f aca="false">SUM(S4:S33)</f>
        <v>0</v>
      </c>
      <c r="T34" s="50" t="n">
        <f aca="false">SUM(T4:T33)</f>
        <v>0</v>
      </c>
      <c r="U34" s="50" t="n">
        <f aca="false">SUM(U4:U33)</f>
        <v>0</v>
      </c>
      <c r="V34" s="50" t="n">
        <f aca="false">SUM(V4:V33)</f>
        <v>0</v>
      </c>
      <c r="W34" s="50" t="n">
        <f aca="false">SUM(W4:W33)</f>
        <v>0</v>
      </c>
      <c r="X34" s="50" t="n">
        <f aca="false">SUM(X4:X33)</f>
        <v>0</v>
      </c>
      <c r="Y34" s="50" t="n">
        <f aca="false">SUM(Y4:Y33)</f>
        <v>0</v>
      </c>
      <c r="Z34" s="50" t="n">
        <f aca="false">SUM(Z4:Z33)</f>
        <v>0</v>
      </c>
      <c r="AA34" s="50" t="n">
        <f aca="false">SUM(AA4:AA33)</f>
        <v>0</v>
      </c>
    </row>
    <row r="36" customFormat="false" ht="15" hidden="false" customHeight="false" outlineLevel="0" collapsed="false">
      <c r="A36" s="51" t="s">
        <v>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customFormat="false" ht="24" hidden="false" customHeight="true" outlineLevel="0" collapsed="false">
      <c r="A37" s="52" t="s">
        <v>34</v>
      </c>
      <c r="B37" s="52" t="s">
        <v>3</v>
      </c>
      <c r="C37" s="52" t="s">
        <v>35</v>
      </c>
      <c r="D37" s="52" t="s">
        <v>5</v>
      </c>
      <c r="E37" s="52" t="s">
        <v>6</v>
      </c>
      <c r="F37" s="52" t="s">
        <v>7</v>
      </c>
      <c r="G37" s="52" t="s">
        <v>2</v>
      </c>
      <c r="H37" s="52" t="s">
        <v>36</v>
      </c>
      <c r="I37" s="52" t="s">
        <v>37</v>
      </c>
      <c r="J37" s="4" t="n">
        <v>46266</v>
      </c>
      <c r="K37" s="4" t="n">
        <v>46296</v>
      </c>
      <c r="L37" s="4" t="n">
        <v>46327</v>
      </c>
      <c r="M37" s="4" t="n">
        <v>46357</v>
      </c>
      <c r="N37" s="4" t="n">
        <v>46388</v>
      </c>
      <c r="O37" s="4" t="n">
        <v>46419</v>
      </c>
      <c r="P37" s="4" t="n">
        <v>46447</v>
      </c>
      <c r="Q37" s="4" t="n">
        <v>46478</v>
      </c>
      <c r="R37" s="4" t="n">
        <v>46508</v>
      </c>
      <c r="S37" s="4" t="n">
        <v>46539</v>
      </c>
      <c r="T37" s="4" t="n">
        <v>46569</v>
      </c>
      <c r="U37" s="4" t="n">
        <v>46600</v>
      </c>
      <c r="V37" s="4" t="n">
        <v>46631</v>
      </c>
      <c r="W37" s="4" t="n">
        <v>46661</v>
      </c>
      <c r="X37" s="4" t="n">
        <v>46692</v>
      </c>
      <c r="Y37" s="4" t="n">
        <v>46722</v>
      </c>
      <c r="Z37" s="4" t="n">
        <v>46753</v>
      </c>
      <c r="AA37" s="4" t="n">
        <v>46784</v>
      </c>
    </row>
    <row r="38" customFormat="false" ht="17.15" hidden="false" customHeight="false" outlineLevel="0" collapsed="false">
      <c r="A38" s="53" t="s">
        <v>38</v>
      </c>
      <c r="B38" s="53" t="s">
        <v>15</v>
      </c>
      <c r="C38" s="53" t="s">
        <v>39</v>
      </c>
      <c r="D38" s="54" t="s">
        <v>17</v>
      </c>
      <c r="E38" s="54" t="s">
        <v>19</v>
      </c>
      <c r="F38" s="54" t="s">
        <v>40</v>
      </c>
      <c r="G38" s="54" t="s">
        <v>14</v>
      </c>
      <c r="H38" s="55" t="n">
        <v>46296</v>
      </c>
      <c r="I38" s="54"/>
      <c r="J38" s="56" t="str">
        <f aca="false">IF($H38=J$37,IF($A38="Jalon","◆",IF($A38="Livrable","▲","●")),"")</f>
        <v/>
      </c>
      <c r="K38" s="56" t="str">
        <f aca="false">IF($H38=K$37,IF($A38="Jalon","◆",IF($A38="Livrable","▲","●")),"")</f>
        <v>◆</v>
      </c>
      <c r="L38" s="56" t="str">
        <f aca="false">IF($H38=L$37,IF($A38="Jalon","◆",IF($A38="Livrable","▲","●")),"")</f>
        <v/>
      </c>
      <c r="M38" s="56" t="str">
        <f aca="false">IF($H38=M$37,IF($A38="Jalon","◆",IF($A38="Livrable","▲","●")),"")</f>
        <v/>
      </c>
      <c r="N38" s="56" t="str">
        <f aca="false">IF($H38=N$37,IF($A38="Jalon","◆",IF($A38="Livrable","▲","●")),"")</f>
        <v/>
      </c>
      <c r="O38" s="56" t="str">
        <f aca="false">IF($H38=O$37,IF($A38="Jalon","◆",IF($A38="Livrable","▲","●")),"")</f>
        <v/>
      </c>
      <c r="P38" s="56" t="str">
        <f aca="false">IF($H38=P$37,IF($A38="Jalon","◆",IF($A38="Livrable","▲","●")),"")</f>
        <v/>
      </c>
      <c r="Q38" s="56" t="str">
        <f aca="false">IF($H38=Q$37,IF($A38="Jalon","◆",IF($A38="Livrable","▲","●")),"")</f>
        <v/>
      </c>
      <c r="R38" s="56" t="str">
        <f aca="false">IF($H38=R$37,IF($A38="Jalon","◆",IF($A38="Livrable","▲","●")),"")</f>
        <v/>
      </c>
      <c r="S38" s="56" t="str">
        <f aca="false">IF($H38=S$37,IF($A38="Jalon","◆",IF($A38="Livrable","▲","●")),"")</f>
        <v/>
      </c>
      <c r="T38" s="56" t="str">
        <f aca="false">IF($H38=T$37,IF($A38="Jalon","◆",IF($A38="Livrable","▲","●")),"")</f>
        <v/>
      </c>
      <c r="U38" s="56" t="str">
        <f aca="false">IF($H38=U$37,IF($A38="Jalon","◆",IF($A38="Livrable","▲","●")),"")</f>
        <v/>
      </c>
      <c r="V38" s="56" t="str">
        <f aca="false">IF($H38=V$37,IF($A38="Jalon","◆",IF($A38="Livrable","▲","●")),"")</f>
        <v/>
      </c>
      <c r="W38" s="56" t="str">
        <f aca="false">IF($H38=W$37,IF($A38="Jalon","◆",IF($A38="Livrable","▲","●")),"")</f>
        <v/>
      </c>
      <c r="X38" s="56" t="str">
        <f aca="false">IF($H38=X$37,IF($A38="Jalon","◆",IF($A38="Livrable","▲","●")),"")</f>
        <v/>
      </c>
      <c r="Y38" s="56" t="str">
        <f aca="false">IF($H38=Y$37,IF($A38="Jalon","◆",IF($A38="Livrable","▲","●")),"")</f>
        <v/>
      </c>
      <c r="Z38" s="56" t="str">
        <f aca="false">IF($H38=Z$37,IF($A38="Jalon","◆",IF($A38="Livrable","▲","●")),"")</f>
        <v/>
      </c>
      <c r="AA38" s="56" t="str">
        <f aca="false">IF($H38=AA$37,IF($A38="Jalon","◆",IF($A38="Livrable","▲","●")),"")</f>
        <v/>
      </c>
    </row>
    <row r="39" customFormat="false" ht="17.15" hidden="false" customHeight="false" outlineLevel="0" collapsed="false">
      <c r="A39" s="53" t="s">
        <v>41</v>
      </c>
      <c r="B39" s="53" t="s">
        <v>15</v>
      </c>
      <c r="C39" s="53" t="s">
        <v>42</v>
      </c>
      <c r="D39" s="54" t="s">
        <v>25</v>
      </c>
      <c r="E39" s="54" t="s">
        <v>19</v>
      </c>
      <c r="F39" s="54" t="s">
        <v>43</v>
      </c>
      <c r="G39" s="54" t="s">
        <v>30</v>
      </c>
      <c r="H39" s="55" t="n">
        <v>46419</v>
      </c>
      <c r="I39" s="54"/>
      <c r="J39" s="57" t="str">
        <f aca="false">IF($H39=J$37,IF($A39="Jalon","◆",IF($A39="Livrable","▲","●")),"")</f>
        <v/>
      </c>
      <c r="K39" s="57" t="str">
        <f aca="false">IF($H39=K$37,IF($A39="Jalon","◆",IF($A39="Livrable","▲","●")),"")</f>
        <v/>
      </c>
      <c r="L39" s="57" t="str">
        <f aca="false">IF($H39=L$37,IF($A39="Jalon","◆",IF($A39="Livrable","▲","●")),"")</f>
        <v/>
      </c>
      <c r="M39" s="57" t="str">
        <f aca="false">IF($H39=M$37,IF($A39="Jalon","◆",IF($A39="Livrable","▲","●")),"")</f>
        <v/>
      </c>
      <c r="N39" s="57" t="str">
        <f aca="false">IF($H39=N$37,IF($A39="Jalon","◆",IF($A39="Livrable","▲","●")),"")</f>
        <v/>
      </c>
      <c r="O39" s="57" t="str">
        <f aca="false">IF($H39=O$37,IF($A39="Jalon","◆",IF($A39="Livrable","▲","●")),"")</f>
        <v>▲</v>
      </c>
      <c r="P39" s="57" t="str">
        <f aca="false">IF($H39=P$37,IF($A39="Jalon","◆",IF($A39="Livrable","▲","●")),"")</f>
        <v/>
      </c>
      <c r="Q39" s="57" t="str">
        <f aca="false">IF($H39=Q$37,IF($A39="Jalon","◆",IF($A39="Livrable","▲","●")),"")</f>
        <v/>
      </c>
      <c r="R39" s="57" t="str">
        <f aca="false">IF($H39=R$37,IF($A39="Jalon","◆",IF($A39="Livrable","▲","●")),"")</f>
        <v/>
      </c>
      <c r="S39" s="57" t="str">
        <f aca="false">IF($H39=S$37,IF($A39="Jalon","◆",IF($A39="Livrable","▲","●")),"")</f>
        <v/>
      </c>
      <c r="T39" s="57" t="str">
        <f aca="false">IF($H39=T$37,IF($A39="Jalon","◆",IF($A39="Livrable","▲","●")),"")</f>
        <v/>
      </c>
      <c r="U39" s="57" t="str">
        <f aca="false">IF($H39=U$37,IF($A39="Jalon","◆",IF($A39="Livrable","▲","●")),"")</f>
        <v/>
      </c>
      <c r="V39" s="57" t="str">
        <f aca="false">IF($H39=V$37,IF($A39="Jalon","◆",IF($A39="Livrable","▲","●")),"")</f>
        <v/>
      </c>
      <c r="W39" s="57" t="str">
        <f aca="false">IF($H39=W$37,IF($A39="Jalon","◆",IF($A39="Livrable","▲","●")),"")</f>
        <v/>
      </c>
      <c r="X39" s="57" t="str">
        <f aca="false">IF($H39=X$37,IF($A39="Jalon","◆",IF($A39="Livrable","▲","●")),"")</f>
        <v/>
      </c>
      <c r="Y39" s="57" t="str">
        <f aca="false">IF($H39=Y$37,IF($A39="Jalon","◆",IF($A39="Livrable","▲","●")),"")</f>
        <v/>
      </c>
      <c r="Z39" s="57" t="str">
        <f aca="false">IF($H39=Z$37,IF($A39="Jalon","◆",IF($A39="Livrable","▲","●")),"")</f>
        <v/>
      </c>
      <c r="AA39" s="57" t="str">
        <f aca="false">IF($H39=AA$37,IF($A39="Jalon","◆",IF($A39="Livrable","▲","●")),"")</f>
        <v/>
      </c>
    </row>
    <row r="40" customFormat="false" ht="15" hidden="false" customHeight="false" outlineLevel="0" collapsed="false">
      <c r="A40" s="53"/>
      <c r="B40" s="53"/>
      <c r="C40" s="53"/>
      <c r="D40" s="54"/>
      <c r="E40" s="54"/>
      <c r="F40" s="54"/>
      <c r="G40" s="54"/>
      <c r="H40" s="55"/>
      <c r="I40" s="54"/>
      <c r="J40" s="56" t="str">
        <f aca="false">IF($H40=J$37,IF($A40="Jalon","◆",IF($A40="Livrable","▲","●")),"")</f>
        <v/>
      </c>
      <c r="K40" s="56" t="str">
        <f aca="false">IF($H40=K$37,IF($A40="Jalon","◆",IF($A40="Livrable","▲","●")),"")</f>
        <v/>
      </c>
      <c r="L40" s="56" t="str">
        <f aca="false">IF($H40=L$37,IF($A40="Jalon","◆",IF($A40="Livrable","▲","●")),"")</f>
        <v/>
      </c>
      <c r="M40" s="56" t="str">
        <f aca="false">IF($H40=M$37,IF($A40="Jalon","◆",IF($A40="Livrable","▲","●")),"")</f>
        <v/>
      </c>
      <c r="N40" s="56" t="str">
        <f aca="false">IF($H40=N$37,IF($A40="Jalon","◆",IF($A40="Livrable","▲","●")),"")</f>
        <v/>
      </c>
      <c r="O40" s="56" t="str">
        <f aca="false">IF($H40=O$37,IF($A40="Jalon","◆",IF($A40="Livrable","▲","●")),"")</f>
        <v/>
      </c>
      <c r="P40" s="56" t="str">
        <f aca="false">IF($H40=P$37,IF($A40="Jalon","◆",IF($A40="Livrable","▲","●")),"")</f>
        <v/>
      </c>
      <c r="Q40" s="56" t="str">
        <f aca="false">IF($H40=Q$37,IF($A40="Jalon","◆",IF($A40="Livrable","▲","●")),"")</f>
        <v/>
      </c>
      <c r="R40" s="56" t="str">
        <f aca="false">IF($H40=R$37,IF($A40="Jalon","◆",IF($A40="Livrable","▲","●")),"")</f>
        <v/>
      </c>
      <c r="S40" s="56" t="str">
        <f aca="false">IF($H40=S$37,IF($A40="Jalon","◆",IF($A40="Livrable","▲","●")),"")</f>
        <v/>
      </c>
      <c r="T40" s="56" t="str">
        <f aca="false">IF($H40=T$37,IF($A40="Jalon","◆",IF($A40="Livrable","▲","●")),"")</f>
        <v/>
      </c>
      <c r="U40" s="56" t="str">
        <f aca="false">IF($H40=U$37,IF($A40="Jalon","◆",IF($A40="Livrable","▲","●")),"")</f>
        <v/>
      </c>
      <c r="V40" s="56" t="str">
        <f aca="false">IF($H40=V$37,IF($A40="Jalon","◆",IF($A40="Livrable","▲","●")),"")</f>
        <v/>
      </c>
      <c r="W40" s="56" t="str">
        <f aca="false">IF($H40=W$37,IF($A40="Jalon","◆",IF($A40="Livrable","▲","●")),"")</f>
        <v/>
      </c>
      <c r="X40" s="56" t="str">
        <f aca="false">IF($H40=X$37,IF($A40="Jalon","◆",IF($A40="Livrable","▲","●")),"")</f>
        <v/>
      </c>
      <c r="Y40" s="56" t="str">
        <f aca="false">IF($H40=Y$37,IF($A40="Jalon","◆",IF($A40="Livrable","▲","●")),"")</f>
        <v/>
      </c>
      <c r="Z40" s="56" t="str">
        <f aca="false">IF($H40=Z$37,IF($A40="Jalon","◆",IF($A40="Livrable","▲","●")),"")</f>
        <v/>
      </c>
      <c r="AA40" s="56" t="str">
        <f aca="false">IF($H40=AA$37,IF($A40="Jalon","◆",IF($A40="Livrable","▲","●")),"")</f>
        <v/>
      </c>
    </row>
    <row r="41" customFormat="false" ht="15" hidden="false" customHeight="false" outlineLevel="0" collapsed="false">
      <c r="A41" s="53"/>
      <c r="B41" s="53"/>
      <c r="C41" s="53"/>
      <c r="D41" s="54"/>
      <c r="E41" s="54"/>
      <c r="F41" s="54"/>
      <c r="G41" s="54"/>
      <c r="H41" s="55"/>
      <c r="I41" s="54"/>
      <c r="J41" s="57" t="str">
        <f aca="false">IF($H41=J$37,IF($A41="Jalon","◆",IF($A41="Livrable","▲","●")),"")</f>
        <v/>
      </c>
      <c r="K41" s="57" t="str">
        <f aca="false">IF($H41=K$37,IF($A41="Jalon","◆",IF($A41="Livrable","▲","●")),"")</f>
        <v/>
      </c>
      <c r="L41" s="57" t="str">
        <f aca="false">IF($H41=L$37,IF($A41="Jalon","◆",IF($A41="Livrable","▲","●")),"")</f>
        <v/>
      </c>
      <c r="M41" s="57" t="str">
        <f aca="false">IF($H41=M$37,IF($A41="Jalon","◆",IF($A41="Livrable","▲","●")),"")</f>
        <v/>
      </c>
      <c r="N41" s="57" t="str">
        <f aca="false">IF($H41=N$37,IF($A41="Jalon","◆",IF($A41="Livrable","▲","●")),"")</f>
        <v/>
      </c>
      <c r="O41" s="57" t="str">
        <f aca="false">IF($H41=O$37,IF($A41="Jalon","◆",IF($A41="Livrable","▲","●")),"")</f>
        <v/>
      </c>
      <c r="P41" s="57" t="str">
        <f aca="false">IF($H41=P$37,IF($A41="Jalon","◆",IF($A41="Livrable","▲","●")),"")</f>
        <v/>
      </c>
      <c r="Q41" s="57" t="str">
        <f aca="false">IF($H41=Q$37,IF($A41="Jalon","◆",IF($A41="Livrable","▲","●")),"")</f>
        <v/>
      </c>
      <c r="R41" s="57" t="str">
        <f aca="false">IF($H41=R$37,IF($A41="Jalon","◆",IF($A41="Livrable","▲","●")),"")</f>
        <v/>
      </c>
      <c r="S41" s="57" t="str">
        <f aca="false">IF($H41=S$37,IF($A41="Jalon","◆",IF($A41="Livrable","▲","●")),"")</f>
        <v/>
      </c>
      <c r="T41" s="57" t="str">
        <f aca="false">IF($H41=T$37,IF($A41="Jalon","◆",IF($A41="Livrable","▲","●")),"")</f>
        <v/>
      </c>
      <c r="U41" s="57" t="str">
        <f aca="false">IF($H41=U$37,IF($A41="Jalon","◆",IF($A41="Livrable","▲","●")),"")</f>
        <v/>
      </c>
      <c r="V41" s="57" t="str">
        <f aca="false">IF($H41=V$37,IF($A41="Jalon","◆",IF($A41="Livrable","▲","●")),"")</f>
        <v/>
      </c>
      <c r="W41" s="57" t="str">
        <f aca="false">IF($H41=W$37,IF($A41="Jalon","◆",IF($A41="Livrable","▲","●")),"")</f>
        <v/>
      </c>
      <c r="X41" s="57" t="str">
        <f aca="false">IF($H41=X$37,IF($A41="Jalon","◆",IF($A41="Livrable","▲","●")),"")</f>
        <v/>
      </c>
      <c r="Y41" s="57" t="str">
        <f aca="false">IF($H41=Y$37,IF($A41="Jalon","◆",IF($A41="Livrable","▲","●")),"")</f>
        <v/>
      </c>
      <c r="Z41" s="57" t="str">
        <f aca="false">IF($H41=Z$37,IF($A41="Jalon","◆",IF($A41="Livrable","▲","●")),"")</f>
        <v/>
      </c>
      <c r="AA41" s="57" t="str">
        <f aca="false">IF($H41=AA$37,IF($A41="Jalon","◆",IF($A41="Livrable","▲","●")),"")</f>
        <v/>
      </c>
    </row>
    <row r="42" customFormat="false" ht="15" hidden="false" customHeight="false" outlineLevel="0" collapsed="false">
      <c r="A42" s="53"/>
      <c r="B42" s="53"/>
      <c r="C42" s="53"/>
      <c r="D42" s="54"/>
      <c r="E42" s="54"/>
      <c r="F42" s="54"/>
      <c r="G42" s="54"/>
      <c r="H42" s="55"/>
      <c r="I42" s="54"/>
      <c r="J42" s="56" t="str">
        <f aca="false">IF($H42=J$37,IF($A42="Jalon","◆",IF($A42="Livrable","▲","●")),"")</f>
        <v/>
      </c>
      <c r="K42" s="56" t="str">
        <f aca="false">IF($H42=K$37,IF($A42="Jalon","◆",IF($A42="Livrable","▲","●")),"")</f>
        <v/>
      </c>
      <c r="L42" s="56" t="str">
        <f aca="false">IF($H42=L$37,IF($A42="Jalon","◆",IF($A42="Livrable","▲","●")),"")</f>
        <v/>
      </c>
      <c r="M42" s="56" t="str">
        <f aca="false">IF($H42=M$37,IF($A42="Jalon","◆",IF($A42="Livrable","▲","●")),"")</f>
        <v/>
      </c>
      <c r="N42" s="56" t="str">
        <f aca="false">IF($H42=N$37,IF($A42="Jalon","◆",IF($A42="Livrable","▲","●")),"")</f>
        <v/>
      </c>
      <c r="O42" s="56" t="str">
        <f aca="false">IF($H42=O$37,IF($A42="Jalon","◆",IF($A42="Livrable","▲","●")),"")</f>
        <v/>
      </c>
      <c r="P42" s="56" t="str">
        <f aca="false">IF($H42=P$37,IF($A42="Jalon","◆",IF($A42="Livrable","▲","●")),"")</f>
        <v/>
      </c>
      <c r="Q42" s="56" t="str">
        <f aca="false">IF($H42=Q$37,IF($A42="Jalon","◆",IF($A42="Livrable","▲","●")),"")</f>
        <v/>
      </c>
      <c r="R42" s="56" t="str">
        <f aca="false">IF($H42=R$37,IF($A42="Jalon","◆",IF($A42="Livrable","▲","●")),"")</f>
        <v/>
      </c>
      <c r="S42" s="56" t="str">
        <f aca="false">IF($H42=S$37,IF($A42="Jalon","◆",IF($A42="Livrable","▲","●")),"")</f>
        <v/>
      </c>
      <c r="T42" s="56" t="str">
        <f aca="false">IF($H42=T$37,IF($A42="Jalon","◆",IF($A42="Livrable","▲","●")),"")</f>
        <v/>
      </c>
      <c r="U42" s="56" t="str">
        <f aca="false">IF($H42=U$37,IF($A42="Jalon","◆",IF($A42="Livrable","▲","●")),"")</f>
        <v/>
      </c>
      <c r="V42" s="56" t="str">
        <f aca="false">IF($H42=V$37,IF($A42="Jalon","◆",IF($A42="Livrable","▲","●")),"")</f>
        <v/>
      </c>
      <c r="W42" s="56" t="str">
        <f aca="false">IF($H42=W$37,IF($A42="Jalon","◆",IF($A42="Livrable","▲","●")),"")</f>
        <v/>
      </c>
      <c r="X42" s="56" t="str">
        <f aca="false">IF($H42=X$37,IF($A42="Jalon","◆",IF($A42="Livrable","▲","●")),"")</f>
        <v/>
      </c>
      <c r="Y42" s="56" t="str">
        <f aca="false">IF($H42=Y$37,IF($A42="Jalon","◆",IF($A42="Livrable","▲","●")),"")</f>
        <v/>
      </c>
      <c r="Z42" s="56" t="str">
        <f aca="false">IF($H42=Z$37,IF($A42="Jalon","◆",IF($A42="Livrable","▲","●")),"")</f>
        <v/>
      </c>
      <c r="AA42" s="56" t="str">
        <f aca="false">IF($H42=AA$37,IF($A42="Jalon","◆",IF($A42="Livrable","▲","●")),"")</f>
        <v/>
      </c>
    </row>
    <row r="43" customFormat="false" ht="15" hidden="false" customHeight="false" outlineLevel="0" collapsed="false">
      <c r="A43" s="53"/>
      <c r="B43" s="53"/>
      <c r="C43" s="53"/>
      <c r="D43" s="54"/>
      <c r="E43" s="54"/>
      <c r="F43" s="54"/>
      <c r="G43" s="54"/>
      <c r="H43" s="55"/>
      <c r="I43" s="54"/>
      <c r="J43" s="57" t="str">
        <f aca="false">IF($H43=J$37,IF($A43="Jalon","◆",IF($A43="Livrable","▲","●")),"")</f>
        <v/>
      </c>
      <c r="K43" s="57" t="str">
        <f aca="false">IF($H43=K$37,IF($A43="Jalon","◆",IF($A43="Livrable","▲","●")),"")</f>
        <v/>
      </c>
      <c r="L43" s="57" t="str">
        <f aca="false">IF($H43=L$37,IF($A43="Jalon","◆",IF($A43="Livrable","▲","●")),"")</f>
        <v/>
      </c>
      <c r="M43" s="57" t="str">
        <f aca="false">IF($H43=M$37,IF($A43="Jalon","◆",IF($A43="Livrable","▲","●")),"")</f>
        <v/>
      </c>
      <c r="N43" s="57" t="str">
        <f aca="false">IF($H43=N$37,IF($A43="Jalon","◆",IF($A43="Livrable","▲","●")),"")</f>
        <v/>
      </c>
      <c r="O43" s="57" t="str">
        <f aca="false">IF($H43=O$37,IF($A43="Jalon","◆",IF($A43="Livrable","▲","●")),"")</f>
        <v/>
      </c>
      <c r="P43" s="57" t="str">
        <f aca="false">IF($H43=P$37,IF($A43="Jalon","◆",IF($A43="Livrable","▲","●")),"")</f>
        <v/>
      </c>
      <c r="Q43" s="57" t="str">
        <f aca="false">IF($H43=Q$37,IF($A43="Jalon","◆",IF($A43="Livrable","▲","●")),"")</f>
        <v/>
      </c>
      <c r="R43" s="57" t="str">
        <f aca="false">IF($H43=R$37,IF($A43="Jalon","◆",IF($A43="Livrable","▲","●")),"")</f>
        <v/>
      </c>
      <c r="S43" s="57" t="str">
        <f aca="false">IF($H43=S$37,IF($A43="Jalon","◆",IF($A43="Livrable","▲","●")),"")</f>
        <v/>
      </c>
      <c r="T43" s="57" t="str">
        <f aca="false">IF($H43=T$37,IF($A43="Jalon","◆",IF($A43="Livrable","▲","●")),"")</f>
        <v/>
      </c>
      <c r="U43" s="57" t="str">
        <f aca="false">IF($H43=U$37,IF($A43="Jalon","◆",IF($A43="Livrable","▲","●")),"")</f>
        <v/>
      </c>
      <c r="V43" s="57" t="str">
        <f aca="false">IF($H43=V$37,IF($A43="Jalon","◆",IF($A43="Livrable","▲","●")),"")</f>
        <v/>
      </c>
      <c r="W43" s="57" t="str">
        <f aca="false">IF($H43=W$37,IF($A43="Jalon","◆",IF($A43="Livrable","▲","●")),"")</f>
        <v/>
      </c>
      <c r="X43" s="57" t="str">
        <f aca="false">IF($H43=X$37,IF($A43="Jalon","◆",IF($A43="Livrable","▲","●")),"")</f>
        <v/>
      </c>
      <c r="Y43" s="57" t="str">
        <f aca="false">IF($H43=Y$37,IF($A43="Jalon","◆",IF($A43="Livrable","▲","●")),"")</f>
        <v/>
      </c>
      <c r="Z43" s="57" t="str">
        <f aca="false">IF($H43=Z$37,IF($A43="Jalon","◆",IF($A43="Livrable","▲","●")),"")</f>
        <v/>
      </c>
      <c r="AA43" s="57" t="str">
        <f aca="false">IF($H43=AA$37,IF($A43="Jalon","◆",IF($A43="Livrable","▲","●")),"")</f>
        <v/>
      </c>
    </row>
    <row r="44" customFormat="false" ht="15" hidden="false" customHeight="false" outlineLevel="0" collapsed="false">
      <c r="A44" s="53"/>
      <c r="B44" s="53"/>
      <c r="C44" s="53"/>
      <c r="D44" s="54"/>
      <c r="E44" s="54"/>
      <c r="F44" s="54"/>
      <c r="G44" s="54"/>
      <c r="H44" s="55"/>
      <c r="I44" s="54"/>
      <c r="J44" s="56" t="str">
        <f aca="false">IF($H44=J$37,IF($A44="Jalon","◆",IF($A44="Livrable","▲","●")),"")</f>
        <v/>
      </c>
      <c r="K44" s="56" t="str">
        <f aca="false">IF($H44=K$37,IF($A44="Jalon","◆",IF($A44="Livrable","▲","●")),"")</f>
        <v/>
      </c>
      <c r="L44" s="56" t="str">
        <f aca="false">IF($H44=L$37,IF($A44="Jalon","◆",IF($A44="Livrable","▲","●")),"")</f>
        <v/>
      </c>
      <c r="M44" s="56" t="str">
        <f aca="false">IF($H44=M$37,IF($A44="Jalon","◆",IF($A44="Livrable","▲","●")),"")</f>
        <v/>
      </c>
      <c r="N44" s="56" t="str">
        <f aca="false">IF($H44=N$37,IF($A44="Jalon","◆",IF($A44="Livrable","▲","●")),"")</f>
        <v/>
      </c>
      <c r="O44" s="56" t="str">
        <f aca="false">IF($H44=O$37,IF($A44="Jalon","◆",IF($A44="Livrable","▲","●")),"")</f>
        <v/>
      </c>
      <c r="P44" s="56" t="str">
        <f aca="false">IF($H44=P$37,IF($A44="Jalon","◆",IF($A44="Livrable","▲","●")),"")</f>
        <v/>
      </c>
      <c r="Q44" s="56" t="str">
        <f aca="false">IF($H44=Q$37,IF($A44="Jalon","◆",IF($A44="Livrable","▲","●")),"")</f>
        <v/>
      </c>
      <c r="R44" s="56" t="str">
        <f aca="false">IF($H44=R$37,IF($A44="Jalon","◆",IF($A44="Livrable","▲","●")),"")</f>
        <v/>
      </c>
      <c r="S44" s="56" t="str">
        <f aca="false">IF($H44=S$37,IF($A44="Jalon","◆",IF($A44="Livrable","▲","●")),"")</f>
        <v/>
      </c>
      <c r="T44" s="56" t="str">
        <f aca="false">IF($H44=T$37,IF($A44="Jalon","◆",IF($A44="Livrable","▲","●")),"")</f>
        <v/>
      </c>
      <c r="U44" s="56" t="str">
        <f aca="false">IF($H44=U$37,IF($A44="Jalon","◆",IF($A44="Livrable","▲","●")),"")</f>
        <v/>
      </c>
      <c r="V44" s="56" t="str">
        <f aca="false">IF($H44=V$37,IF($A44="Jalon","◆",IF($A44="Livrable","▲","●")),"")</f>
        <v/>
      </c>
      <c r="W44" s="56" t="str">
        <f aca="false">IF($H44=W$37,IF($A44="Jalon","◆",IF($A44="Livrable","▲","●")),"")</f>
        <v/>
      </c>
      <c r="X44" s="56" t="str">
        <f aca="false">IF($H44=X$37,IF($A44="Jalon","◆",IF($A44="Livrable","▲","●")),"")</f>
        <v/>
      </c>
      <c r="Y44" s="56" t="str">
        <f aca="false">IF($H44=Y$37,IF($A44="Jalon","◆",IF($A44="Livrable","▲","●")),"")</f>
        <v/>
      </c>
      <c r="Z44" s="56" t="str">
        <f aca="false">IF($H44=Z$37,IF($A44="Jalon","◆",IF($A44="Livrable","▲","●")),"")</f>
        <v/>
      </c>
      <c r="AA44" s="56" t="str">
        <f aca="false">IF($H44=AA$37,IF($A44="Jalon","◆",IF($A44="Livrable","▲","●")),"")</f>
        <v/>
      </c>
    </row>
    <row r="45" customFormat="false" ht="15" hidden="false" customHeight="false" outlineLevel="0" collapsed="false">
      <c r="A45" s="53"/>
      <c r="B45" s="53"/>
      <c r="C45" s="53"/>
      <c r="D45" s="54"/>
      <c r="E45" s="54"/>
      <c r="F45" s="54"/>
      <c r="G45" s="54"/>
      <c r="H45" s="55"/>
      <c r="I45" s="54"/>
      <c r="J45" s="57" t="str">
        <f aca="false">IF($H45=J$37,IF($A45="Jalon","◆",IF($A45="Livrable","▲","●")),"")</f>
        <v/>
      </c>
      <c r="K45" s="57" t="str">
        <f aca="false">IF($H45=K$37,IF($A45="Jalon","◆",IF($A45="Livrable","▲","●")),"")</f>
        <v/>
      </c>
      <c r="L45" s="57" t="str">
        <f aca="false">IF($H45=L$37,IF($A45="Jalon","◆",IF($A45="Livrable","▲","●")),"")</f>
        <v/>
      </c>
      <c r="M45" s="57" t="str">
        <f aca="false">IF($H45=M$37,IF($A45="Jalon","◆",IF($A45="Livrable","▲","●")),"")</f>
        <v/>
      </c>
      <c r="N45" s="57" t="str">
        <f aca="false">IF($H45=N$37,IF($A45="Jalon","◆",IF($A45="Livrable","▲","●")),"")</f>
        <v/>
      </c>
      <c r="O45" s="57" t="str">
        <f aca="false">IF($H45=O$37,IF($A45="Jalon","◆",IF($A45="Livrable","▲","●")),"")</f>
        <v/>
      </c>
      <c r="P45" s="57" t="str">
        <f aca="false">IF($H45=P$37,IF($A45="Jalon","◆",IF($A45="Livrable","▲","●")),"")</f>
        <v/>
      </c>
      <c r="Q45" s="57" t="str">
        <f aca="false">IF($H45=Q$37,IF($A45="Jalon","◆",IF($A45="Livrable","▲","●")),"")</f>
        <v/>
      </c>
      <c r="R45" s="57" t="str">
        <f aca="false">IF($H45=R$37,IF($A45="Jalon","◆",IF($A45="Livrable","▲","●")),"")</f>
        <v/>
      </c>
      <c r="S45" s="57" t="str">
        <f aca="false">IF($H45=S$37,IF($A45="Jalon","◆",IF($A45="Livrable","▲","●")),"")</f>
        <v/>
      </c>
      <c r="T45" s="57" t="str">
        <f aca="false">IF($H45=T$37,IF($A45="Jalon","◆",IF($A45="Livrable","▲","●")),"")</f>
        <v/>
      </c>
      <c r="U45" s="57" t="str">
        <f aca="false">IF($H45=U$37,IF($A45="Jalon","◆",IF($A45="Livrable","▲","●")),"")</f>
        <v/>
      </c>
      <c r="V45" s="57" t="str">
        <f aca="false">IF($H45=V$37,IF($A45="Jalon","◆",IF($A45="Livrable","▲","●")),"")</f>
        <v/>
      </c>
      <c r="W45" s="57" t="str">
        <f aca="false">IF($H45=W$37,IF($A45="Jalon","◆",IF($A45="Livrable","▲","●")),"")</f>
        <v/>
      </c>
      <c r="X45" s="57" t="str">
        <f aca="false">IF($H45=X$37,IF($A45="Jalon","◆",IF($A45="Livrable","▲","●")),"")</f>
        <v/>
      </c>
      <c r="Y45" s="57" t="str">
        <f aca="false">IF($H45=Y$37,IF($A45="Jalon","◆",IF($A45="Livrable","▲","●")),"")</f>
        <v/>
      </c>
      <c r="Z45" s="57" t="str">
        <f aca="false">IF($H45=Z$37,IF($A45="Jalon","◆",IF($A45="Livrable","▲","●")),"")</f>
        <v/>
      </c>
      <c r="AA45" s="57" t="str">
        <f aca="false">IF($H45=AA$37,IF($A45="Jalon","◆",IF($A45="Livrable","▲","●")),"")</f>
        <v/>
      </c>
    </row>
    <row r="46" customFormat="false" ht="15" hidden="false" customHeight="false" outlineLevel="0" collapsed="false">
      <c r="A46" s="53"/>
      <c r="B46" s="53"/>
      <c r="C46" s="53"/>
      <c r="D46" s="54"/>
      <c r="E46" s="54"/>
      <c r="F46" s="54"/>
      <c r="G46" s="54"/>
      <c r="H46" s="55"/>
      <c r="I46" s="54"/>
      <c r="J46" s="56" t="str">
        <f aca="false">IF($H46=J$37,IF($A46="Jalon","◆",IF($A46="Livrable","▲","●")),"")</f>
        <v/>
      </c>
      <c r="K46" s="56" t="str">
        <f aca="false">IF($H46=K$37,IF($A46="Jalon","◆",IF($A46="Livrable","▲","●")),"")</f>
        <v/>
      </c>
      <c r="L46" s="56" t="str">
        <f aca="false">IF($H46=L$37,IF($A46="Jalon","◆",IF($A46="Livrable","▲","●")),"")</f>
        <v/>
      </c>
      <c r="M46" s="56" t="str">
        <f aca="false">IF($H46=M$37,IF($A46="Jalon","◆",IF($A46="Livrable","▲","●")),"")</f>
        <v/>
      </c>
      <c r="N46" s="56" t="str">
        <f aca="false">IF($H46=N$37,IF($A46="Jalon","◆",IF($A46="Livrable","▲","●")),"")</f>
        <v/>
      </c>
      <c r="O46" s="56" t="str">
        <f aca="false">IF($H46=O$37,IF($A46="Jalon","◆",IF($A46="Livrable","▲","●")),"")</f>
        <v/>
      </c>
      <c r="P46" s="56" t="str">
        <f aca="false">IF($H46=P$37,IF($A46="Jalon","◆",IF($A46="Livrable","▲","●")),"")</f>
        <v/>
      </c>
      <c r="Q46" s="56" t="str">
        <f aca="false">IF($H46=Q$37,IF($A46="Jalon","◆",IF($A46="Livrable","▲","●")),"")</f>
        <v/>
      </c>
      <c r="R46" s="56" t="str">
        <f aca="false">IF($H46=R$37,IF($A46="Jalon","◆",IF($A46="Livrable","▲","●")),"")</f>
        <v/>
      </c>
      <c r="S46" s="56" t="str">
        <f aca="false">IF($H46=S$37,IF($A46="Jalon","◆",IF($A46="Livrable","▲","●")),"")</f>
        <v/>
      </c>
      <c r="T46" s="56" t="str">
        <f aca="false">IF($H46=T$37,IF($A46="Jalon","◆",IF($A46="Livrable","▲","●")),"")</f>
        <v/>
      </c>
      <c r="U46" s="56" t="str">
        <f aca="false">IF($H46=U$37,IF($A46="Jalon","◆",IF($A46="Livrable","▲","●")),"")</f>
        <v/>
      </c>
      <c r="V46" s="56" t="str">
        <f aca="false">IF($H46=V$37,IF($A46="Jalon","◆",IF($A46="Livrable","▲","●")),"")</f>
        <v/>
      </c>
      <c r="W46" s="56" t="str">
        <f aca="false">IF($H46=W$37,IF($A46="Jalon","◆",IF($A46="Livrable","▲","●")),"")</f>
        <v/>
      </c>
      <c r="X46" s="56" t="str">
        <f aca="false">IF($H46=X$37,IF($A46="Jalon","◆",IF($A46="Livrable","▲","●")),"")</f>
        <v/>
      </c>
      <c r="Y46" s="56" t="str">
        <f aca="false">IF($H46=Y$37,IF($A46="Jalon","◆",IF($A46="Livrable","▲","●")),"")</f>
        <v/>
      </c>
      <c r="Z46" s="56" t="str">
        <f aca="false">IF($H46=Z$37,IF($A46="Jalon","◆",IF($A46="Livrable","▲","●")),"")</f>
        <v/>
      </c>
      <c r="AA46" s="56" t="str">
        <f aca="false">IF($H46=AA$37,IF($A46="Jalon","◆",IF($A46="Livrable","▲","●")),"")</f>
        <v/>
      </c>
    </row>
    <row r="47" customFormat="false" ht="15" hidden="false" customHeight="false" outlineLevel="0" collapsed="false">
      <c r="A47" s="53"/>
      <c r="B47" s="53"/>
      <c r="C47" s="53"/>
      <c r="D47" s="54"/>
      <c r="E47" s="54"/>
      <c r="F47" s="54"/>
      <c r="G47" s="54"/>
      <c r="H47" s="55"/>
      <c r="I47" s="54"/>
      <c r="J47" s="57" t="str">
        <f aca="false">IF($H47=J$37,IF($A47="Jalon","◆",IF($A47="Livrable","▲","●")),"")</f>
        <v/>
      </c>
      <c r="K47" s="57" t="str">
        <f aca="false">IF($H47=K$37,IF($A47="Jalon","◆",IF($A47="Livrable","▲","●")),"")</f>
        <v/>
      </c>
      <c r="L47" s="57" t="str">
        <f aca="false">IF($H47=L$37,IF($A47="Jalon","◆",IF($A47="Livrable","▲","●")),"")</f>
        <v/>
      </c>
      <c r="M47" s="57" t="str">
        <f aca="false">IF($H47=M$37,IF($A47="Jalon","◆",IF($A47="Livrable","▲","●")),"")</f>
        <v/>
      </c>
      <c r="N47" s="57" t="str">
        <f aca="false">IF($H47=N$37,IF($A47="Jalon","◆",IF($A47="Livrable","▲","●")),"")</f>
        <v/>
      </c>
      <c r="O47" s="57" t="str">
        <f aca="false">IF($H47=O$37,IF($A47="Jalon","◆",IF($A47="Livrable","▲","●")),"")</f>
        <v/>
      </c>
      <c r="P47" s="57" t="str">
        <f aca="false">IF($H47=P$37,IF($A47="Jalon","◆",IF($A47="Livrable","▲","●")),"")</f>
        <v/>
      </c>
      <c r="Q47" s="57" t="str">
        <f aca="false">IF($H47=Q$37,IF($A47="Jalon","◆",IF($A47="Livrable","▲","●")),"")</f>
        <v/>
      </c>
      <c r="R47" s="57" t="str">
        <f aca="false">IF($H47=R$37,IF($A47="Jalon","◆",IF($A47="Livrable","▲","●")),"")</f>
        <v/>
      </c>
      <c r="S47" s="57" t="str">
        <f aca="false">IF($H47=S$37,IF($A47="Jalon","◆",IF($A47="Livrable","▲","●")),"")</f>
        <v/>
      </c>
      <c r="T47" s="57" t="str">
        <f aca="false">IF($H47=T$37,IF($A47="Jalon","◆",IF($A47="Livrable","▲","●")),"")</f>
        <v/>
      </c>
      <c r="U47" s="57" t="str">
        <f aca="false">IF($H47=U$37,IF($A47="Jalon","◆",IF($A47="Livrable","▲","●")),"")</f>
        <v/>
      </c>
      <c r="V47" s="57" t="str">
        <f aca="false">IF($H47=V$37,IF($A47="Jalon","◆",IF($A47="Livrable","▲","●")),"")</f>
        <v/>
      </c>
      <c r="W47" s="57" t="str">
        <f aca="false">IF($H47=W$37,IF($A47="Jalon","◆",IF($A47="Livrable","▲","●")),"")</f>
        <v/>
      </c>
      <c r="X47" s="57" t="str">
        <f aca="false">IF($H47=X$37,IF($A47="Jalon","◆",IF($A47="Livrable","▲","●")),"")</f>
        <v/>
      </c>
      <c r="Y47" s="57" t="str">
        <f aca="false">IF($H47=Y$37,IF($A47="Jalon","◆",IF($A47="Livrable","▲","●")),"")</f>
        <v/>
      </c>
      <c r="Z47" s="57" t="str">
        <f aca="false">IF($H47=Z$37,IF($A47="Jalon","◆",IF($A47="Livrable","▲","●")),"")</f>
        <v/>
      </c>
      <c r="AA47" s="57" t="str">
        <f aca="false">IF($H47=AA$37,IF($A47="Jalon","◆",IF($A47="Livrable","▲","●")),"")</f>
        <v/>
      </c>
    </row>
    <row r="48" customFormat="false" ht="15" hidden="false" customHeight="false" outlineLevel="0" collapsed="false">
      <c r="A48" s="53"/>
      <c r="B48" s="53"/>
      <c r="C48" s="53"/>
      <c r="D48" s="54"/>
      <c r="E48" s="54"/>
      <c r="F48" s="54"/>
      <c r="G48" s="54"/>
      <c r="H48" s="55"/>
      <c r="I48" s="54"/>
      <c r="J48" s="56" t="str">
        <f aca="false">IF($H48=J$37,IF($A48="Jalon","◆",IF($A48="Livrable","▲","●")),"")</f>
        <v/>
      </c>
      <c r="K48" s="56" t="str">
        <f aca="false">IF($H48=K$37,IF($A48="Jalon","◆",IF($A48="Livrable","▲","●")),"")</f>
        <v/>
      </c>
      <c r="L48" s="56" t="str">
        <f aca="false">IF($H48=L$37,IF($A48="Jalon","◆",IF($A48="Livrable","▲","●")),"")</f>
        <v/>
      </c>
      <c r="M48" s="56" t="str">
        <f aca="false">IF($H48=M$37,IF($A48="Jalon","◆",IF($A48="Livrable","▲","●")),"")</f>
        <v/>
      </c>
      <c r="N48" s="56" t="str">
        <f aca="false">IF($H48=N$37,IF($A48="Jalon","◆",IF($A48="Livrable","▲","●")),"")</f>
        <v/>
      </c>
      <c r="O48" s="56" t="str">
        <f aca="false">IF($H48=O$37,IF($A48="Jalon","◆",IF($A48="Livrable","▲","●")),"")</f>
        <v/>
      </c>
      <c r="P48" s="56" t="str">
        <f aca="false">IF($H48=P$37,IF($A48="Jalon","◆",IF($A48="Livrable","▲","●")),"")</f>
        <v/>
      </c>
      <c r="Q48" s="56" t="str">
        <f aca="false">IF($H48=Q$37,IF($A48="Jalon","◆",IF($A48="Livrable","▲","●")),"")</f>
        <v/>
      </c>
      <c r="R48" s="56" t="str">
        <f aca="false">IF($H48=R$37,IF($A48="Jalon","◆",IF($A48="Livrable","▲","●")),"")</f>
        <v/>
      </c>
      <c r="S48" s="56" t="str">
        <f aca="false">IF($H48=S$37,IF($A48="Jalon","◆",IF($A48="Livrable","▲","●")),"")</f>
        <v/>
      </c>
      <c r="T48" s="56" t="str">
        <f aca="false">IF($H48=T$37,IF($A48="Jalon","◆",IF($A48="Livrable","▲","●")),"")</f>
        <v/>
      </c>
      <c r="U48" s="56" t="str">
        <f aca="false">IF($H48=U$37,IF($A48="Jalon","◆",IF($A48="Livrable","▲","●")),"")</f>
        <v/>
      </c>
      <c r="V48" s="56" t="str">
        <f aca="false">IF($H48=V$37,IF($A48="Jalon","◆",IF($A48="Livrable","▲","●")),"")</f>
        <v/>
      </c>
      <c r="W48" s="56" t="str">
        <f aca="false">IF($H48=W$37,IF($A48="Jalon","◆",IF($A48="Livrable","▲","●")),"")</f>
        <v/>
      </c>
      <c r="X48" s="56" t="str">
        <f aca="false">IF($H48=X$37,IF($A48="Jalon","◆",IF($A48="Livrable","▲","●")),"")</f>
        <v/>
      </c>
      <c r="Y48" s="56" t="str">
        <f aca="false">IF($H48=Y$37,IF($A48="Jalon","◆",IF($A48="Livrable","▲","●")),"")</f>
        <v/>
      </c>
      <c r="Z48" s="56" t="str">
        <f aca="false">IF($H48=Z$37,IF($A48="Jalon","◆",IF($A48="Livrable","▲","●")),"")</f>
        <v/>
      </c>
      <c r="AA48" s="56" t="str">
        <f aca="false">IF($H48=AA$37,IF($A48="Jalon","◆",IF($A48="Livrable","▲","●")),"")</f>
        <v/>
      </c>
    </row>
    <row r="49" customFormat="false" ht="15" hidden="false" customHeight="false" outlineLevel="0" collapsed="false">
      <c r="A49" s="53"/>
      <c r="B49" s="53"/>
      <c r="C49" s="53"/>
      <c r="D49" s="54"/>
      <c r="E49" s="54"/>
      <c r="F49" s="54"/>
      <c r="G49" s="54"/>
      <c r="H49" s="55"/>
      <c r="I49" s="54"/>
      <c r="J49" s="57" t="str">
        <f aca="false">IF($H49=J$37,IF($A49="Jalon","◆",IF($A49="Livrable","▲","●")),"")</f>
        <v/>
      </c>
      <c r="K49" s="57" t="str">
        <f aca="false">IF($H49=K$37,IF($A49="Jalon","◆",IF($A49="Livrable","▲","●")),"")</f>
        <v/>
      </c>
      <c r="L49" s="57" t="str">
        <f aca="false">IF($H49=L$37,IF($A49="Jalon","◆",IF($A49="Livrable","▲","●")),"")</f>
        <v/>
      </c>
      <c r="M49" s="57" t="str">
        <f aca="false">IF($H49=M$37,IF($A49="Jalon","◆",IF($A49="Livrable","▲","●")),"")</f>
        <v/>
      </c>
      <c r="N49" s="57" t="str">
        <f aca="false">IF($H49=N$37,IF($A49="Jalon","◆",IF($A49="Livrable","▲","●")),"")</f>
        <v/>
      </c>
      <c r="O49" s="57" t="str">
        <f aca="false">IF($H49=O$37,IF($A49="Jalon","◆",IF($A49="Livrable","▲","●")),"")</f>
        <v/>
      </c>
      <c r="P49" s="57" t="str">
        <f aca="false">IF($H49=P$37,IF($A49="Jalon","◆",IF($A49="Livrable","▲","●")),"")</f>
        <v/>
      </c>
      <c r="Q49" s="57" t="str">
        <f aca="false">IF($H49=Q$37,IF($A49="Jalon","◆",IF($A49="Livrable","▲","●")),"")</f>
        <v/>
      </c>
      <c r="R49" s="57" t="str">
        <f aca="false">IF($H49=R$37,IF($A49="Jalon","◆",IF($A49="Livrable","▲","●")),"")</f>
        <v/>
      </c>
      <c r="S49" s="57" t="str">
        <f aca="false">IF($H49=S$37,IF($A49="Jalon","◆",IF($A49="Livrable","▲","●")),"")</f>
        <v/>
      </c>
      <c r="T49" s="57" t="str">
        <f aca="false">IF($H49=T$37,IF($A49="Jalon","◆",IF($A49="Livrable","▲","●")),"")</f>
        <v/>
      </c>
      <c r="U49" s="57" t="str">
        <f aca="false">IF($H49=U$37,IF($A49="Jalon","◆",IF($A49="Livrable","▲","●")),"")</f>
        <v/>
      </c>
      <c r="V49" s="57" t="str">
        <f aca="false">IF($H49=V$37,IF($A49="Jalon","◆",IF($A49="Livrable","▲","●")),"")</f>
        <v/>
      </c>
      <c r="W49" s="57" t="str">
        <f aca="false">IF($H49=W$37,IF($A49="Jalon","◆",IF($A49="Livrable","▲","●")),"")</f>
        <v/>
      </c>
      <c r="X49" s="57" t="str">
        <f aca="false">IF($H49=X$37,IF($A49="Jalon","◆",IF($A49="Livrable","▲","●")),"")</f>
        <v/>
      </c>
      <c r="Y49" s="57" t="str">
        <f aca="false">IF($H49=Y$37,IF($A49="Jalon","◆",IF($A49="Livrable","▲","●")),"")</f>
        <v/>
      </c>
      <c r="Z49" s="57" t="str">
        <f aca="false">IF($H49=Z$37,IF($A49="Jalon","◆",IF($A49="Livrable","▲","●")),"")</f>
        <v/>
      </c>
      <c r="AA49" s="57" t="str">
        <f aca="false">IF($H49=AA$37,IF($A49="Jalon","◆",IF($A49="Livrable","▲","●")),"")</f>
        <v/>
      </c>
    </row>
    <row r="50" customFormat="false" ht="15" hidden="false" customHeight="false" outlineLevel="0" collapsed="false">
      <c r="A50" s="53"/>
      <c r="B50" s="53"/>
      <c r="C50" s="53"/>
      <c r="D50" s="54"/>
      <c r="E50" s="54"/>
      <c r="F50" s="54"/>
      <c r="G50" s="54"/>
      <c r="H50" s="55"/>
      <c r="I50" s="54"/>
      <c r="J50" s="56" t="str">
        <f aca="false">IF($H50=J$37,IF($A50="Jalon","◆",IF($A50="Livrable","▲","●")),"")</f>
        <v/>
      </c>
      <c r="K50" s="56" t="str">
        <f aca="false">IF($H50=K$37,IF($A50="Jalon","◆",IF($A50="Livrable","▲","●")),"")</f>
        <v/>
      </c>
      <c r="L50" s="56" t="str">
        <f aca="false">IF($H50=L$37,IF($A50="Jalon","◆",IF($A50="Livrable","▲","●")),"")</f>
        <v/>
      </c>
      <c r="M50" s="56" t="str">
        <f aca="false">IF($H50=M$37,IF($A50="Jalon","◆",IF($A50="Livrable","▲","●")),"")</f>
        <v/>
      </c>
      <c r="N50" s="56" t="str">
        <f aca="false">IF($H50=N$37,IF($A50="Jalon","◆",IF($A50="Livrable","▲","●")),"")</f>
        <v/>
      </c>
      <c r="O50" s="56" t="str">
        <f aca="false">IF($H50=O$37,IF($A50="Jalon","◆",IF($A50="Livrable","▲","●")),"")</f>
        <v/>
      </c>
      <c r="P50" s="56" t="str">
        <f aca="false">IF($H50=P$37,IF($A50="Jalon","◆",IF($A50="Livrable","▲","●")),"")</f>
        <v/>
      </c>
      <c r="Q50" s="56" t="str">
        <f aca="false">IF($H50=Q$37,IF($A50="Jalon","◆",IF($A50="Livrable","▲","●")),"")</f>
        <v/>
      </c>
      <c r="R50" s="56" t="str">
        <f aca="false">IF($H50=R$37,IF($A50="Jalon","◆",IF($A50="Livrable","▲","●")),"")</f>
        <v/>
      </c>
      <c r="S50" s="56" t="str">
        <f aca="false">IF($H50=S$37,IF($A50="Jalon","◆",IF($A50="Livrable","▲","●")),"")</f>
        <v/>
      </c>
      <c r="T50" s="56" t="str">
        <f aca="false">IF($H50=T$37,IF($A50="Jalon","◆",IF($A50="Livrable","▲","●")),"")</f>
        <v/>
      </c>
      <c r="U50" s="56" t="str">
        <f aca="false">IF($H50=U$37,IF($A50="Jalon","◆",IF($A50="Livrable","▲","●")),"")</f>
        <v/>
      </c>
      <c r="V50" s="56" t="str">
        <f aca="false">IF($H50=V$37,IF($A50="Jalon","◆",IF($A50="Livrable","▲","●")),"")</f>
        <v/>
      </c>
      <c r="W50" s="56" t="str">
        <f aca="false">IF($H50=W$37,IF($A50="Jalon","◆",IF($A50="Livrable","▲","●")),"")</f>
        <v/>
      </c>
      <c r="X50" s="56" t="str">
        <f aca="false">IF($H50=X$37,IF($A50="Jalon","◆",IF($A50="Livrable","▲","●")),"")</f>
        <v/>
      </c>
      <c r="Y50" s="56" t="str">
        <f aca="false">IF($H50=Y$37,IF($A50="Jalon","◆",IF($A50="Livrable","▲","●")),"")</f>
        <v/>
      </c>
      <c r="Z50" s="56" t="str">
        <f aca="false">IF($H50=Z$37,IF($A50="Jalon","◆",IF($A50="Livrable","▲","●")),"")</f>
        <v/>
      </c>
      <c r="AA50" s="56" t="str">
        <f aca="false">IF($H50=AA$37,IF($A50="Jalon","◆",IF($A50="Livrable","▲","●")),"")</f>
        <v/>
      </c>
    </row>
    <row r="51" customFormat="false" ht="15" hidden="false" customHeight="false" outlineLevel="0" collapsed="false">
      <c r="A51" s="53"/>
      <c r="B51" s="53"/>
      <c r="C51" s="53"/>
      <c r="D51" s="54"/>
      <c r="E51" s="54"/>
      <c r="F51" s="54"/>
      <c r="G51" s="54"/>
      <c r="H51" s="55"/>
      <c r="I51" s="54"/>
      <c r="J51" s="57" t="str">
        <f aca="false">IF($H51=J$37,IF($A51="Jalon","◆",IF($A51="Livrable","▲","●")),"")</f>
        <v/>
      </c>
      <c r="K51" s="57" t="str">
        <f aca="false">IF($H51=K$37,IF($A51="Jalon","◆",IF($A51="Livrable","▲","●")),"")</f>
        <v/>
      </c>
      <c r="L51" s="57" t="str">
        <f aca="false">IF($H51=L$37,IF($A51="Jalon","◆",IF($A51="Livrable","▲","●")),"")</f>
        <v/>
      </c>
      <c r="M51" s="57" t="str">
        <f aca="false">IF($H51=M$37,IF($A51="Jalon","◆",IF($A51="Livrable","▲","●")),"")</f>
        <v/>
      </c>
      <c r="N51" s="57" t="str">
        <f aca="false">IF($H51=N$37,IF($A51="Jalon","◆",IF($A51="Livrable","▲","●")),"")</f>
        <v/>
      </c>
      <c r="O51" s="57" t="str">
        <f aca="false">IF($H51=O$37,IF($A51="Jalon","◆",IF($A51="Livrable","▲","●")),"")</f>
        <v/>
      </c>
      <c r="P51" s="57" t="str">
        <f aca="false">IF($H51=P$37,IF($A51="Jalon","◆",IF($A51="Livrable","▲","●")),"")</f>
        <v/>
      </c>
      <c r="Q51" s="57" t="str">
        <f aca="false">IF($H51=Q$37,IF($A51="Jalon","◆",IF($A51="Livrable","▲","●")),"")</f>
        <v/>
      </c>
      <c r="R51" s="57" t="str">
        <f aca="false">IF($H51=R$37,IF($A51="Jalon","◆",IF($A51="Livrable","▲","●")),"")</f>
        <v/>
      </c>
      <c r="S51" s="57" t="str">
        <f aca="false">IF($H51=S$37,IF($A51="Jalon","◆",IF($A51="Livrable","▲","●")),"")</f>
        <v/>
      </c>
      <c r="T51" s="57" t="str">
        <f aca="false">IF($H51=T$37,IF($A51="Jalon","◆",IF($A51="Livrable","▲","●")),"")</f>
        <v/>
      </c>
      <c r="U51" s="57" t="str">
        <f aca="false">IF($H51=U$37,IF($A51="Jalon","◆",IF($A51="Livrable","▲","●")),"")</f>
        <v/>
      </c>
      <c r="V51" s="57" t="str">
        <f aca="false">IF($H51=V$37,IF($A51="Jalon","◆",IF($A51="Livrable","▲","●")),"")</f>
        <v/>
      </c>
      <c r="W51" s="57" t="str">
        <f aca="false">IF($H51=W$37,IF($A51="Jalon","◆",IF($A51="Livrable","▲","●")),"")</f>
        <v/>
      </c>
      <c r="X51" s="57" t="str">
        <f aca="false">IF($H51=X$37,IF($A51="Jalon","◆",IF($A51="Livrable","▲","●")),"")</f>
        <v/>
      </c>
      <c r="Y51" s="57" t="str">
        <f aca="false">IF($H51=Y$37,IF($A51="Jalon","◆",IF($A51="Livrable","▲","●")),"")</f>
        <v/>
      </c>
      <c r="Z51" s="57" t="str">
        <f aca="false">IF($H51=Z$37,IF($A51="Jalon","◆",IF($A51="Livrable","▲","●")),"")</f>
        <v/>
      </c>
      <c r="AA51" s="57" t="str">
        <f aca="false">IF($H51=AA$37,IF($A51="Jalon","◆",IF($A51="Livrable","▲","●")),"")</f>
        <v/>
      </c>
    </row>
    <row r="52" customFormat="false" ht="15" hidden="false" customHeight="false" outlineLevel="0" collapsed="false">
      <c r="A52" s="53"/>
      <c r="B52" s="53"/>
      <c r="C52" s="53"/>
      <c r="D52" s="54"/>
      <c r="E52" s="54"/>
      <c r="F52" s="54"/>
      <c r="G52" s="54"/>
      <c r="H52" s="55"/>
      <c r="I52" s="54"/>
      <c r="J52" s="56" t="str">
        <f aca="false">IF($H52=J$37,IF($A52="Jalon","◆",IF($A52="Livrable","▲","●")),"")</f>
        <v/>
      </c>
      <c r="K52" s="56" t="str">
        <f aca="false">IF($H52=K$37,IF($A52="Jalon","◆",IF($A52="Livrable","▲","●")),"")</f>
        <v/>
      </c>
      <c r="L52" s="56" t="str">
        <f aca="false">IF($H52=L$37,IF($A52="Jalon","◆",IF($A52="Livrable","▲","●")),"")</f>
        <v/>
      </c>
      <c r="M52" s="56" t="str">
        <f aca="false">IF($H52=M$37,IF($A52="Jalon","◆",IF($A52="Livrable","▲","●")),"")</f>
        <v/>
      </c>
      <c r="N52" s="56" t="str">
        <f aca="false">IF($H52=N$37,IF($A52="Jalon","◆",IF($A52="Livrable","▲","●")),"")</f>
        <v/>
      </c>
      <c r="O52" s="56" t="str">
        <f aca="false">IF($H52=O$37,IF($A52="Jalon","◆",IF($A52="Livrable","▲","●")),"")</f>
        <v/>
      </c>
      <c r="P52" s="56" t="str">
        <f aca="false">IF($H52=P$37,IF($A52="Jalon","◆",IF($A52="Livrable","▲","●")),"")</f>
        <v/>
      </c>
      <c r="Q52" s="56" t="str">
        <f aca="false">IF($H52=Q$37,IF($A52="Jalon","◆",IF($A52="Livrable","▲","●")),"")</f>
        <v/>
      </c>
      <c r="R52" s="56" t="str">
        <f aca="false">IF($H52=R$37,IF($A52="Jalon","◆",IF($A52="Livrable","▲","●")),"")</f>
        <v/>
      </c>
      <c r="S52" s="56" t="str">
        <f aca="false">IF($H52=S$37,IF($A52="Jalon","◆",IF($A52="Livrable","▲","●")),"")</f>
        <v/>
      </c>
      <c r="T52" s="56" t="str">
        <f aca="false">IF($H52=T$37,IF($A52="Jalon","◆",IF($A52="Livrable","▲","●")),"")</f>
        <v/>
      </c>
      <c r="U52" s="56" t="str">
        <f aca="false">IF($H52=U$37,IF($A52="Jalon","◆",IF($A52="Livrable","▲","●")),"")</f>
        <v/>
      </c>
      <c r="V52" s="56" t="str">
        <f aca="false">IF($H52=V$37,IF($A52="Jalon","◆",IF($A52="Livrable","▲","●")),"")</f>
        <v/>
      </c>
      <c r="W52" s="56" t="str">
        <f aca="false">IF($H52=W$37,IF($A52="Jalon","◆",IF($A52="Livrable","▲","●")),"")</f>
        <v/>
      </c>
      <c r="X52" s="56" t="str">
        <f aca="false">IF($H52=X$37,IF($A52="Jalon","◆",IF($A52="Livrable","▲","●")),"")</f>
        <v/>
      </c>
      <c r="Y52" s="56" t="str">
        <f aca="false">IF($H52=Y$37,IF($A52="Jalon","◆",IF($A52="Livrable","▲","●")),"")</f>
        <v/>
      </c>
      <c r="Z52" s="56" t="str">
        <f aca="false">IF($H52=Z$37,IF($A52="Jalon","◆",IF($A52="Livrable","▲","●")),"")</f>
        <v/>
      </c>
      <c r="AA52" s="56" t="str">
        <f aca="false">IF($H52=AA$37,IF($A52="Jalon","◆",IF($A52="Livrable","▲","●")),"")</f>
        <v/>
      </c>
    </row>
    <row r="53" customFormat="false" ht="15" hidden="false" customHeight="false" outlineLevel="0" collapsed="false">
      <c r="A53" s="53"/>
      <c r="B53" s="53"/>
      <c r="C53" s="53"/>
      <c r="D53" s="54"/>
      <c r="E53" s="54"/>
      <c r="F53" s="54"/>
      <c r="G53" s="54"/>
      <c r="H53" s="55"/>
      <c r="I53" s="54"/>
      <c r="J53" s="57" t="str">
        <f aca="false">IF($H53=J$37,IF($A53="Jalon","◆",IF($A53="Livrable","▲","●")),"")</f>
        <v/>
      </c>
      <c r="K53" s="57" t="str">
        <f aca="false">IF($H53=K$37,IF($A53="Jalon","◆",IF($A53="Livrable","▲","●")),"")</f>
        <v/>
      </c>
      <c r="L53" s="57" t="str">
        <f aca="false">IF($H53=L$37,IF($A53="Jalon","◆",IF($A53="Livrable","▲","●")),"")</f>
        <v/>
      </c>
      <c r="M53" s="57" t="str">
        <f aca="false">IF($H53=M$37,IF($A53="Jalon","◆",IF($A53="Livrable","▲","●")),"")</f>
        <v/>
      </c>
      <c r="N53" s="57" t="str">
        <f aca="false">IF($H53=N$37,IF($A53="Jalon","◆",IF($A53="Livrable","▲","●")),"")</f>
        <v/>
      </c>
      <c r="O53" s="57" t="str">
        <f aca="false">IF($H53=O$37,IF($A53="Jalon","◆",IF($A53="Livrable","▲","●")),"")</f>
        <v/>
      </c>
      <c r="P53" s="57" t="str">
        <f aca="false">IF($H53=P$37,IF($A53="Jalon","◆",IF($A53="Livrable","▲","●")),"")</f>
        <v/>
      </c>
      <c r="Q53" s="57" t="str">
        <f aca="false">IF($H53=Q$37,IF($A53="Jalon","◆",IF($A53="Livrable","▲","●")),"")</f>
        <v/>
      </c>
      <c r="R53" s="57" t="str">
        <f aca="false">IF($H53=R$37,IF($A53="Jalon","◆",IF($A53="Livrable","▲","●")),"")</f>
        <v/>
      </c>
      <c r="S53" s="57" t="str">
        <f aca="false">IF($H53=S$37,IF($A53="Jalon","◆",IF($A53="Livrable","▲","●")),"")</f>
        <v/>
      </c>
      <c r="T53" s="57" t="str">
        <f aca="false">IF($H53=T$37,IF($A53="Jalon","◆",IF($A53="Livrable","▲","●")),"")</f>
        <v/>
      </c>
      <c r="U53" s="57" t="str">
        <f aca="false">IF($H53=U$37,IF($A53="Jalon","◆",IF($A53="Livrable","▲","●")),"")</f>
        <v/>
      </c>
      <c r="V53" s="57" t="str">
        <f aca="false">IF($H53=V$37,IF($A53="Jalon","◆",IF($A53="Livrable","▲","●")),"")</f>
        <v/>
      </c>
      <c r="W53" s="57" t="str">
        <f aca="false">IF($H53=W$37,IF($A53="Jalon","◆",IF($A53="Livrable","▲","●")),"")</f>
        <v/>
      </c>
      <c r="X53" s="57" t="str">
        <f aca="false">IF($H53=X$37,IF($A53="Jalon","◆",IF($A53="Livrable","▲","●")),"")</f>
        <v/>
      </c>
      <c r="Y53" s="57" t="str">
        <f aca="false">IF($H53=Y$37,IF($A53="Jalon","◆",IF($A53="Livrable","▲","●")),"")</f>
        <v/>
      </c>
      <c r="Z53" s="57" t="str">
        <f aca="false">IF($H53=Z$37,IF($A53="Jalon","◆",IF($A53="Livrable","▲","●")),"")</f>
        <v/>
      </c>
      <c r="AA53" s="57" t="str">
        <f aca="false">IF($H53=AA$37,IF($A53="Jalon","◆",IF($A53="Livrable","▲","●")),"")</f>
        <v/>
      </c>
    </row>
    <row r="54" customFormat="false" ht="15" hidden="false" customHeight="false" outlineLevel="0" collapsed="false">
      <c r="A54" s="53"/>
      <c r="B54" s="53"/>
      <c r="C54" s="53"/>
      <c r="D54" s="54"/>
      <c r="E54" s="54"/>
      <c r="F54" s="54"/>
      <c r="G54" s="54"/>
      <c r="H54" s="55"/>
      <c r="I54" s="54"/>
      <c r="J54" s="56" t="str">
        <f aca="false">IF($H54=J$37,IF($A54="Jalon","◆",IF($A54="Livrable","▲","●")),"")</f>
        <v/>
      </c>
      <c r="K54" s="56" t="str">
        <f aca="false">IF($H54=K$37,IF($A54="Jalon","◆",IF($A54="Livrable","▲","●")),"")</f>
        <v/>
      </c>
      <c r="L54" s="56" t="str">
        <f aca="false">IF($H54=L$37,IF($A54="Jalon","◆",IF($A54="Livrable","▲","●")),"")</f>
        <v/>
      </c>
      <c r="M54" s="56" t="str">
        <f aca="false">IF($H54=M$37,IF($A54="Jalon","◆",IF($A54="Livrable","▲","●")),"")</f>
        <v/>
      </c>
      <c r="N54" s="56" t="str">
        <f aca="false">IF($H54=N$37,IF($A54="Jalon","◆",IF($A54="Livrable","▲","●")),"")</f>
        <v/>
      </c>
      <c r="O54" s="56" t="str">
        <f aca="false">IF($H54=O$37,IF($A54="Jalon","◆",IF($A54="Livrable","▲","●")),"")</f>
        <v/>
      </c>
      <c r="P54" s="56" t="str">
        <f aca="false">IF($H54=P$37,IF($A54="Jalon","◆",IF($A54="Livrable","▲","●")),"")</f>
        <v/>
      </c>
      <c r="Q54" s="56" t="str">
        <f aca="false">IF($H54=Q$37,IF($A54="Jalon","◆",IF($A54="Livrable","▲","●")),"")</f>
        <v/>
      </c>
      <c r="R54" s="56" t="str">
        <f aca="false">IF($H54=R$37,IF($A54="Jalon","◆",IF($A54="Livrable","▲","●")),"")</f>
        <v/>
      </c>
      <c r="S54" s="56" t="str">
        <f aca="false">IF($H54=S$37,IF($A54="Jalon","◆",IF($A54="Livrable","▲","●")),"")</f>
        <v/>
      </c>
      <c r="T54" s="56" t="str">
        <f aca="false">IF($H54=T$37,IF($A54="Jalon","◆",IF($A54="Livrable","▲","●")),"")</f>
        <v/>
      </c>
      <c r="U54" s="56" t="str">
        <f aca="false">IF($H54=U$37,IF($A54="Jalon","◆",IF($A54="Livrable","▲","●")),"")</f>
        <v/>
      </c>
      <c r="V54" s="56" t="str">
        <f aca="false">IF($H54=V$37,IF($A54="Jalon","◆",IF($A54="Livrable","▲","●")),"")</f>
        <v/>
      </c>
      <c r="W54" s="56" t="str">
        <f aca="false">IF($H54=W$37,IF($A54="Jalon","◆",IF($A54="Livrable","▲","●")),"")</f>
        <v/>
      </c>
      <c r="X54" s="56" t="str">
        <f aca="false">IF($H54=X$37,IF($A54="Jalon","◆",IF($A54="Livrable","▲","●")),"")</f>
        <v/>
      </c>
      <c r="Y54" s="56" t="str">
        <f aca="false">IF($H54=Y$37,IF($A54="Jalon","◆",IF($A54="Livrable","▲","●")),"")</f>
        <v/>
      </c>
      <c r="Z54" s="56" t="str">
        <f aca="false">IF($H54=Z$37,IF($A54="Jalon","◆",IF($A54="Livrable","▲","●")),"")</f>
        <v/>
      </c>
      <c r="AA54" s="56" t="str">
        <f aca="false">IF($H54=AA$37,IF($A54="Jalon","◆",IF($A54="Livrable","▲","●")),"")</f>
        <v/>
      </c>
    </row>
    <row r="55" customFormat="false" ht="15" hidden="false" customHeight="false" outlineLevel="0" collapsed="false">
      <c r="A55" s="53"/>
      <c r="B55" s="53"/>
      <c r="C55" s="53"/>
      <c r="D55" s="54"/>
      <c r="E55" s="54"/>
      <c r="F55" s="54"/>
      <c r="G55" s="54"/>
      <c r="H55" s="55"/>
      <c r="I55" s="54"/>
      <c r="J55" s="57" t="str">
        <f aca="false">IF($H55=J$37,IF($A55="Jalon","◆",IF($A55="Livrable","▲","●")),"")</f>
        <v/>
      </c>
      <c r="K55" s="57" t="str">
        <f aca="false">IF($H55=K$37,IF($A55="Jalon","◆",IF($A55="Livrable","▲","●")),"")</f>
        <v/>
      </c>
      <c r="L55" s="57" t="str">
        <f aca="false">IF($H55=L$37,IF($A55="Jalon","◆",IF($A55="Livrable","▲","●")),"")</f>
        <v/>
      </c>
      <c r="M55" s="57" t="str">
        <f aca="false">IF($H55=M$37,IF($A55="Jalon","◆",IF($A55="Livrable","▲","●")),"")</f>
        <v/>
      </c>
      <c r="N55" s="57" t="str">
        <f aca="false">IF($H55=N$37,IF($A55="Jalon","◆",IF($A55="Livrable","▲","●")),"")</f>
        <v/>
      </c>
      <c r="O55" s="57" t="str">
        <f aca="false">IF($H55=O$37,IF($A55="Jalon","◆",IF($A55="Livrable","▲","●")),"")</f>
        <v/>
      </c>
      <c r="P55" s="57" t="str">
        <f aca="false">IF($H55=P$37,IF($A55="Jalon","◆",IF($A55="Livrable","▲","●")),"")</f>
        <v/>
      </c>
      <c r="Q55" s="57" t="str">
        <f aca="false">IF($H55=Q$37,IF($A55="Jalon","◆",IF($A55="Livrable","▲","●")),"")</f>
        <v/>
      </c>
      <c r="R55" s="57" t="str">
        <f aca="false">IF($H55=R$37,IF($A55="Jalon","◆",IF($A55="Livrable","▲","●")),"")</f>
        <v/>
      </c>
      <c r="S55" s="57" t="str">
        <f aca="false">IF($H55=S$37,IF($A55="Jalon","◆",IF($A55="Livrable","▲","●")),"")</f>
        <v/>
      </c>
      <c r="T55" s="57" t="str">
        <f aca="false">IF($H55=T$37,IF($A55="Jalon","◆",IF($A55="Livrable","▲","●")),"")</f>
        <v/>
      </c>
      <c r="U55" s="57" t="str">
        <f aca="false">IF($H55=U$37,IF($A55="Jalon","◆",IF($A55="Livrable","▲","●")),"")</f>
        <v/>
      </c>
      <c r="V55" s="57" t="str">
        <f aca="false">IF($H55=V$37,IF($A55="Jalon","◆",IF($A55="Livrable","▲","●")),"")</f>
        <v/>
      </c>
      <c r="W55" s="57" t="str">
        <f aca="false">IF($H55=W$37,IF($A55="Jalon","◆",IF($A55="Livrable","▲","●")),"")</f>
        <v/>
      </c>
      <c r="X55" s="57" t="str">
        <f aca="false">IF($H55=X$37,IF($A55="Jalon","◆",IF($A55="Livrable","▲","●")),"")</f>
        <v/>
      </c>
      <c r="Y55" s="57" t="str">
        <f aca="false">IF($H55=Y$37,IF($A55="Jalon","◆",IF($A55="Livrable","▲","●")),"")</f>
        <v/>
      </c>
      <c r="Z55" s="57" t="str">
        <f aca="false">IF($H55=Z$37,IF($A55="Jalon","◆",IF($A55="Livrable","▲","●")),"")</f>
        <v/>
      </c>
      <c r="AA55" s="57" t="str">
        <f aca="false">IF($H55=AA$37,IF($A55="Jalon","◆",IF($A55="Livrable","▲","●")),"")</f>
        <v/>
      </c>
    </row>
    <row r="56" customFormat="false" ht="15" hidden="false" customHeight="false" outlineLevel="0" collapsed="false">
      <c r="A56" s="53"/>
      <c r="B56" s="53"/>
      <c r="C56" s="53"/>
      <c r="D56" s="54"/>
      <c r="E56" s="54"/>
      <c r="F56" s="54"/>
      <c r="G56" s="54"/>
      <c r="H56" s="55"/>
      <c r="I56" s="54"/>
      <c r="J56" s="56" t="str">
        <f aca="false">IF($H56=J$37,IF($A56="Jalon","◆",IF($A56="Livrable","▲","●")),"")</f>
        <v/>
      </c>
      <c r="K56" s="56" t="str">
        <f aca="false">IF($H56=K$37,IF($A56="Jalon","◆",IF($A56="Livrable","▲","●")),"")</f>
        <v/>
      </c>
      <c r="L56" s="56" t="str">
        <f aca="false">IF($H56=L$37,IF($A56="Jalon","◆",IF($A56="Livrable","▲","●")),"")</f>
        <v/>
      </c>
      <c r="M56" s="56" t="str">
        <f aca="false">IF($H56=M$37,IF($A56="Jalon","◆",IF($A56="Livrable","▲","●")),"")</f>
        <v/>
      </c>
      <c r="N56" s="56" t="str">
        <f aca="false">IF($H56=N$37,IF($A56="Jalon","◆",IF($A56="Livrable","▲","●")),"")</f>
        <v/>
      </c>
      <c r="O56" s="56" t="str">
        <f aca="false">IF($H56=O$37,IF($A56="Jalon","◆",IF($A56="Livrable","▲","●")),"")</f>
        <v/>
      </c>
      <c r="P56" s="56" t="str">
        <f aca="false">IF($H56=P$37,IF($A56="Jalon","◆",IF($A56="Livrable","▲","●")),"")</f>
        <v/>
      </c>
      <c r="Q56" s="56" t="str">
        <f aca="false">IF($H56=Q$37,IF($A56="Jalon","◆",IF($A56="Livrable","▲","●")),"")</f>
        <v/>
      </c>
      <c r="R56" s="56" t="str">
        <f aca="false">IF($H56=R$37,IF($A56="Jalon","◆",IF($A56="Livrable","▲","●")),"")</f>
        <v/>
      </c>
      <c r="S56" s="56" t="str">
        <f aca="false">IF($H56=S$37,IF($A56="Jalon","◆",IF($A56="Livrable","▲","●")),"")</f>
        <v/>
      </c>
      <c r="T56" s="56" t="str">
        <f aca="false">IF($H56=T$37,IF($A56="Jalon","◆",IF($A56="Livrable","▲","●")),"")</f>
        <v/>
      </c>
      <c r="U56" s="56" t="str">
        <f aca="false">IF($H56=U$37,IF($A56="Jalon","◆",IF($A56="Livrable","▲","●")),"")</f>
        <v/>
      </c>
      <c r="V56" s="56" t="str">
        <f aca="false">IF($H56=V$37,IF($A56="Jalon","◆",IF($A56="Livrable","▲","●")),"")</f>
        <v/>
      </c>
      <c r="W56" s="56" t="str">
        <f aca="false">IF($H56=W$37,IF($A56="Jalon","◆",IF($A56="Livrable","▲","●")),"")</f>
        <v/>
      </c>
      <c r="X56" s="56" t="str">
        <f aca="false">IF($H56=X$37,IF($A56="Jalon","◆",IF($A56="Livrable","▲","●")),"")</f>
        <v/>
      </c>
      <c r="Y56" s="56" t="str">
        <f aca="false">IF($H56=Y$37,IF($A56="Jalon","◆",IF($A56="Livrable","▲","●")),"")</f>
        <v/>
      </c>
      <c r="Z56" s="56" t="str">
        <f aca="false">IF($H56=Z$37,IF($A56="Jalon","◆",IF($A56="Livrable","▲","●")),"")</f>
        <v/>
      </c>
      <c r="AA56" s="56" t="str">
        <f aca="false">IF($H56=AA$37,IF($A56="Jalon","◆",IF($A56="Livrable","▲","●")),"")</f>
        <v/>
      </c>
    </row>
    <row r="57" customFormat="false" ht="15" hidden="false" customHeight="false" outlineLevel="0" collapsed="false">
      <c r="A57" s="53"/>
      <c r="B57" s="53"/>
      <c r="C57" s="53"/>
      <c r="D57" s="54"/>
      <c r="E57" s="54"/>
      <c r="F57" s="54"/>
      <c r="G57" s="54"/>
      <c r="H57" s="55"/>
      <c r="I57" s="54"/>
      <c r="J57" s="57" t="str">
        <f aca="false">IF($H57=J$37,IF($A57="Jalon","◆",IF($A57="Livrable","▲","●")),"")</f>
        <v/>
      </c>
      <c r="K57" s="57" t="str">
        <f aca="false">IF($H57=K$37,IF($A57="Jalon","◆",IF($A57="Livrable","▲","●")),"")</f>
        <v/>
      </c>
      <c r="L57" s="57" t="str">
        <f aca="false">IF($H57=L$37,IF($A57="Jalon","◆",IF($A57="Livrable","▲","●")),"")</f>
        <v/>
      </c>
      <c r="M57" s="57" t="str">
        <f aca="false">IF($H57=M$37,IF($A57="Jalon","◆",IF($A57="Livrable","▲","●")),"")</f>
        <v/>
      </c>
      <c r="N57" s="57" t="str">
        <f aca="false">IF($H57=N$37,IF($A57="Jalon","◆",IF($A57="Livrable","▲","●")),"")</f>
        <v/>
      </c>
      <c r="O57" s="57" t="str">
        <f aca="false">IF($H57=O$37,IF($A57="Jalon","◆",IF($A57="Livrable","▲","●")),"")</f>
        <v/>
      </c>
      <c r="P57" s="57" t="str">
        <f aca="false">IF($H57=P$37,IF($A57="Jalon","◆",IF($A57="Livrable","▲","●")),"")</f>
        <v/>
      </c>
      <c r="Q57" s="57" t="str">
        <f aca="false">IF($H57=Q$37,IF($A57="Jalon","◆",IF($A57="Livrable","▲","●")),"")</f>
        <v/>
      </c>
      <c r="R57" s="57" t="str">
        <f aca="false">IF($H57=R$37,IF($A57="Jalon","◆",IF($A57="Livrable","▲","●")),"")</f>
        <v/>
      </c>
      <c r="S57" s="57" t="str">
        <f aca="false">IF($H57=S$37,IF($A57="Jalon","◆",IF($A57="Livrable","▲","●")),"")</f>
        <v/>
      </c>
      <c r="T57" s="57" t="str">
        <f aca="false">IF($H57=T$37,IF($A57="Jalon","◆",IF($A57="Livrable","▲","●")),"")</f>
        <v/>
      </c>
      <c r="U57" s="57" t="str">
        <f aca="false">IF($H57=U$37,IF($A57="Jalon","◆",IF($A57="Livrable","▲","●")),"")</f>
        <v/>
      </c>
      <c r="V57" s="57" t="str">
        <f aca="false">IF($H57=V$37,IF($A57="Jalon","◆",IF($A57="Livrable","▲","●")),"")</f>
        <v/>
      </c>
      <c r="W57" s="57" t="str">
        <f aca="false">IF($H57=W$37,IF($A57="Jalon","◆",IF($A57="Livrable","▲","●")),"")</f>
        <v/>
      </c>
      <c r="X57" s="57" t="str">
        <f aca="false">IF($H57=X$37,IF($A57="Jalon","◆",IF($A57="Livrable","▲","●")),"")</f>
        <v/>
      </c>
      <c r="Y57" s="57" t="str">
        <f aca="false">IF($H57=Y$37,IF($A57="Jalon","◆",IF($A57="Livrable","▲","●")),"")</f>
        <v/>
      </c>
      <c r="Z57" s="57" t="str">
        <f aca="false">IF($H57=Z$37,IF($A57="Jalon","◆",IF($A57="Livrable","▲","●")),"")</f>
        <v/>
      </c>
      <c r="AA57" s="57" t="str">
        <f aca="false">IF($H57=AA$37,IF($A57="Jalon","◆",IF($A57="Livrable","▲","●")),"")</f>
        <v/>
      </c>
    </row>
    <row r="59" customFormat="false" ht="15" hidden="false" customHeight="false" outlineLevel="0" collapsed="false">
      <c r="A59" s="2" t="s">
        <v>44</v>
      </c>
    </row>
  </sheetData>
  <mergeCells count="2">
    <mergeCell ref="A1:AA1"/>
    <mergeCell ref="A36:AA36"/>
  </mergeCells>
  <conditionalFormatting sqref="E4">
    <cfRule type="expression" priority="2" aboveAverage="0" equalAverage="0" bottom="0" percent="0" rank="0" text="" dxfId="0">
      <formula>$E4="Non commencé"</formula>
    </cfRule>
    <cfRule type="expression" priority="3" aboveAverage="0" equalAverage="0" bottom="0" percent="0" rank="0" text="" dxfId="1">
      <formula>$E4="En cours"</formula>
    </cfRule>
    <cfRule type="expression" priority="4" aboveAverage="0" equalAverage="0" bottom="0" percent="0" rank="0" text="" dxfId="2">
      <formula>$E4="Réalisé"</formula>
    </cfRule>
  </conditionalFormatting>
  <conditionalFormatting sqref="F4">
    <cfRule type="expression" priority="5" aboveAverage="0" equalAverage="0" bottom="0" percent="0" rank="0" text="" dxfId="3">
      <formula>AND($C4&lt;&gt;"",N($G4)&gt;0,SUMIF(Répartition!$A$4:$A$103,$C4,Répartition!$C$4:$C$103)&lt;&gt;$G4)</formula>
    </cfRule>
  </conditionalFormatting>
  <conditionalFormatting sqref="C4">
    <cfRule type="expression" priority="6" aboveAverage="0" equalAverage="0" bottom="0" percent="0" rank="0" text="" dxfId="4">
      <formula>$E4="Réalisé"</formula>
    </cfRule>
  </conditionalFormatting>
  <conditionalFormatting sqref="J4:AA4">
    <cfRule type="expression" priority="7" aboveAverage="0" equalAverage="0" bottom="0" percent="0" rank="0" text="" dxfId="5">
      <formula>AND(J4&gt;0,$E4="Réalisé")</formula>
    </cfRule>
    <cfRule type="expression" priority="8" aboveAverage="0" equalAverage="0" bottom="0" percent="0" rank="0" text="" dxfId="6">
      <formula>J4&gt;0</formula>
    </cfRule>
    <cfRule type="expression" priority="9" aboveAverage="0" equalAverage="0" bottom="0" percent="0" rank="0" text="" dxfId="7">
      <formula>AND($A4&lt;&gt;"",AND(COUNTIFS($G$38:$G$57,$A4,$H$38:$H$57,J$3,$A$38:$A$57,"Jalon")&gt;0,COUNTIFS($G$38:$G$57,$A4,$H$38:$H$57,J$3,$A$38:$A$57,"Livrable")&gt;0))</formula>
    </cfRule>
    <cfRule type="expression" priority="10" aboveAverage="0" equalAverage="0" bottom="0" percent="0" rank="0" text="" dxfId="8">
      <formula>AND($A4&lt;&gt;"",COUNTIFS($G$38:$G$57,$A4,$H$38:$H$57,J$3,$A$38:$A$57,"Jalon")&gt;0)</formula>
    </cfRule>
    <cfRule type="expression" priority="11" aboveAverage="0" equalAverage="0" bottom="0" percent="0" rank="0" text="" dxfId="9">
      <formula>AND($A4&lt;&gt;"",COUNTIFS($G$38:$G$57,$A4,$H$38:$H$57,J$3,$A$38:$A$57,"Livrable")&gt;0)</formula>
    </cfRule>
    <cfRule type="expression" priority="12" aboveAverage="0" equalAverage="0" bottom="0" percent="0" rank="0" text="" dxfId="10">
      <formula>AND($A4&lt;&gt;"",COUNTIFS($G$38:$G$57,$A4,$H$38:$H$57,J$3,$A$38:$A$57,"Revue")&gt;0)</formula>
    </cfRule>
  </conditionalFormatting>
  <conditionalFormatting sqref="E5">
    <cfRule type="expression" priority="13" aboveAverage="0" equalAverage="0" bottom="0" percent="0" rank="0" text="" dxfId="0">
      <formula>$E5="Non commencé"</formula>
    </cfRule>
    <cfRule type="expression" priority="14" aboveAverage="0" equalAverage="0" bottom="0" percent="0" rank="0" text="" dxfId="1">
      <formula>$E5="En cours"</formula>
    </cfRule>
    <cfRule type="expression" priority="15" aboveAverage="0" equalAverage="0" bottom="0" percent="0" rank="0" text="" dxfId="2">
      <formula>$E5="Réalisé"</formula>
    </cfRule>
  </conditionalFormatting>
  <conditionalFormatting sqref="F5">
    <cfRule type="expression" priority="16" aboveAverage="0" equalAverage="0" bottom="0" percent="0" rank="0" text="" dxfId="3">
      <formula>AND($C5&lt;&gt;"",N($G5)&gt;0,SUMIF(Répartition!$A$4:$A$103,$C5,Répartition!$C$4:$C$103)&lt;&gt;$G5)</formula>
    </cfRule>
  </conditionalFormatting>
  <conditionalFormatting sqref="C5">
    <cfRule type="expression" priority="17" aboveAverage="0" equalAverage="0" bottom="0" percent="0" rank="0" text="" dxfId="4">
      <formula>$E5="Réalisé"</formula>
    </cfRule>
  </conditionalFormatting>
  <conditionalFormatting sqref="J5:AA5">
    <cfRule type="expression" priority="18" aboveAverage="0" equalAverage="0" bottom="0" percent="0" rank="0" text="" dxfId="11">
      <formula>AND(J5&gt;0,$E5="Réalisé")</formula>
    </cfRule>
    <cfRule type="expression" priority="19" aboveAverage="0" equalAverage="0" bottom="0" percent="0" rank="0" text="" dxfId="12">
      <formula>J5&gt;0</formula>
    </cfRule>
    <cfRule type="expression" priority="20" aboveAverage="0" equalAverage="0" bottom="0" percent="0" rank="0" text="" dxfId="7">
      <formula>AND($A5&lt;&gt;"",AND(COUNTIFS($G$38:$G$57,$A5,$H$38:$H$57,J$3,$A$38:$A$57,"Jalon")&gt;0,COUNTIFS($G$38:$G$57,$A5,$H$38:$H$57,J$3,$A$38:$A$57,"Livrable")&gt;0))</formula>
    </cfRule>
    <cfRule type="expression" priority="21" aboveAverage="0" equalAverage="0" bottom="0" percent="0" rank="0" text="" dxfId="8">
      <formula>AND($A5&lt;&gt;"",COUNTIFS($G$38:$G$57,$A5,$H$38:$H$57,J$3,$A$38:$A$57,"Jalon")&gt;0)</formula>
    </cfRule>
    <cfRule type="expression" priority="22" aboveAverage="0" equalAverage="0" bottom="0" percent="0" rank="0" text="" dxfId="9">
      <formula>AND($A5&lt;&gt;"",COUNTIFS($G$38:$G$57,$A5,$H$38:$H$57,J$3,$A$38:$A$57,"Livrable")&gt;0)</formula>
    </cfRule>
    <cfRule type="expression" priority="23" aboveAverage="0" equalAverage="0" bottom="0" percent="0" rank="0" text="" dxfId="10">
      <formula>AND($A5&lt;&gt;"",COUNTIFS($G$38:$G$57,$A5,$H$38:$H$57,J$3,$A$38:$A$57,"Revue")&gt;0)</formula>
    </cfRule>
  </conditionalFormatting>
  <conditionalFormatting sqref="E6">
    <cfRule type="expression" priority="24" aboveAverage="0" equalAverage="0" bottom="0" percent="0" rank="0" text="" dxfId="0">
      <formula>$E6="Non commencé"</formula>
    </cfRule>
    <cfRule type="expression" priority="25" aboveAverage="0" equalAverage="0" bottom="0" percent="0" rank="0" text="" dxfId="1">
      <formula>$E6="En cours"</formula>
    </cfRule>
    <cfRule type="expression" priority="26" aboveAverage="0" equalAverage="0" bottom="0" percent="0" rank="0" text="" dxfId="2">
      <formula>$E6="Réalisé"</formula>
    </cfRule>
  </conditionalFormatting>
  <conditionalFormatting sqref="F6">
    <cfRule type="expression" priority="27" aboveAverage="0" equalAverage="0" bottom="0" percent="0" rank="0" text="" dxfId="3">
      <formula>AND($C6&lt;&gt;"",N($G6)&gt;0,SUMIF(Répartition!$A$4:$A$103,$C6,Répartition!$C$4:$C$103)&lt;&gt;$G6)</formula>
    </cfRule>
  </conditionalFormatting>
  <conditionalFormatting sqref="C6">
    <cfRule type="expression" priority="28" aboveAverage="0" equalAverage="0" bottom="0" percent="0" rank="0" text="" dxfId="4">
      <formula>$E6="Réalisé"</formula>
    </cfRule>
  </conditionalFormatting>
  <conditionalFormatting sqref="J6:AA6">
    <cfRule type="expression" priority="29" aboveAverage="0" equalAverage="0" bottom="0" percent="0" rank="0" text="" dxfId="13">
      <formula>AND(J6&gt;0,$E6="Réalisé")</formula>
    </cfRule>
    <cfRule type="expression" priority="30" aboveAverage="0" equalAverage="0" bottom="0" percent="0" rank="0" text="" dxfId="14">
      <formula>J6&gt;0</formula>
    </cfRule>
    <cfRule type="expression" priority="31" aboveAverage="0" equalAverage="0" bottom="0" percent="0" rank="0" text="" dxfId="7">
      <formula>AND($A6&lt;&gt;"",AND(COUNTIFS($G$38:$G$57,$A6,$H$38:$H$57,J$3,$A$38:$A$57,"Jalon")&gt;0,COUNTIFS($G$38:$G$57,$A6,$H$38:$H$57,J$3,$A$38:$A$57,"Livrable")&gt;0))</formula>
    </cfRule>
    <cfRule type="expression" priority="32" aboveAverage="0" equalAverage="0" bottom="0" percent="0" rank="0" text="" dxfId="8">
      <formula>AND($A6&lt;&gt;"",COUNTIFS($G$38:$G$57,$A6,$H$38:$H$57,J$3,$A$38:$A$57,"Jalon")&gt;0)</formula>
    </cfRule>
    <cfRule type="expression" priority="33" aboveAverage="0" equalAverage="0" bottom="0" percent="0" rank="0" text="" dxfId="9">
      <formula>AND($A6&lt;&gt;"",COUNTIFS($G$38:$G$57,$A6,$H$38:$H$57,J$3,$A$38:$A$57,"Livrable")&gt;0)</formula>
    </cfRule>
    <cfRule type="expression" priority="34" aboveAverage="0" equalAverage="0" bottom="0" percent="0" rank="0" text="" dxfId="10">
      <formula>AND($A6&lt;&gt;"",COUNTIFS($G$38:$G$57,$A6,$H$38:$H$57,J$3,$A$38:$A$57,"Revue")&gt;0)</formula>
    </cfRule>
  </conditionalFormatting>
  <conditionalFormatting sqref="E7">
    <cfRule type="expression" priority="35" aboveAverage="0" equalAverage="0" bottom="0" percent="0" rank="0" text="" dxfId="0">
      <formula>$E7="Non commencé"</formula>
    </cfRule>
    <cfRule type="expression" priority="36" aboveAverage="0" equalAverage="0" bottom="0" percent="0" rank="0" text="" dxfId="1">
      <formula>$E7="En cours"</formula>
    </cfRule>
    <cfRule type="expression" priority="37" aboveAverage="0" equalAverage="0" bottom="0" percent="0" rank="0" text="" dxfId="2">
      <formula>$E7="Réalisé"</formula>
    </cfRule>
  </conditionalFormatting>
  <conditionalFormatting sqref="F7">
    <cfRule type="expression" priority="38" aboveAverage="0" equalAverage="0" bottom="0" percent="0" rank="0" text="" dxfId="3">
      <formula>AND($C7&lt;&gt;"",N($G7)&gt;0,SUMIF(Répartition!$A$4:$A$103,$C7,Répartition!$C$4:$C$103)&lt;&gt;$G7)</formula>
    </cfRule>
  </conditionalFormatting>
  <conditionalFormatting sqref="C7">
    <cfRule type="expression" priority="39" aboveAverage="0" equalAverage="0" bottom="0" percent="0" rank="0" text="" dxfId="4">
      <formula>$E7="Réalisé"</formula>
    </cfRule>
  </conditionalFormatting>
  <conditionalFormatting sqref="J7:AA7">
    <cfRule type="expression" priority="40" aboveAverage="0" equalAverage="0" bottom="0" percent="0" rank="0" text="" dxfId="15">
      <formula>AND(J7&gt;0,$E7="Réalisé")</formula>
    </cfRule>
    <cfRule type="expression" priority="41" aboveAverage="0" equalAverage="0" bottom="0" percent="0" rank="0" text="" dxfId="16">
      <formula>J7&gt;0</formula>
    </cfRule>
    <cfRule type="expression" priority="42" aboveAverage="0" equalAverage="0" bottom="0" percent="0" rank="0" text="" dxfId="7">
      <formula>AND($A7&lt;&gt;"",AND(COUNTIFS($G$38:$G$57,$A7,$H$38:$H$57,J$3,$A$38:$A$57,"Jalon")&gt;0,COUNTIFS($G$38:$G$57,$A7,$H$38:$H$57,J$3,$A$38:$A$57,"Livrable")&gt;0))</formula>
    </cfRule>
    <cfRule type="expression" priority="43" aboveAverage="0" equalAverage="0" bottom="0" percent="0" rank="0" text="" dxfId="8">
      <formula>AND($A7&lt;&gt;"",COUNTIFS($G$38:$G$57,$A7,$H$38:$H$57,J$3,$A$38:$A$57,"Jalon")&gt;0)</formula>
    </cfRule>
    <cfRule type="expression" priority="44" aboveAverage="0" equalAverage="0" bottom="0" percent="0" rank="0" text="" dxfId="9">
      <formula>AND($A7&lt;&gt;"",COUNTIFS($G$38:$G$57,$A7,$H$38:$H$57,J$3,$A$38:$A$57,"Livrable")&gt;0)</formula>
    </cfRule>
    <cfRule type="expression" priority="45" aboveAverage="0" equalAverage="0" bottom="0" percent="0" rank="0" text="" dxfId="10">
      <formula>AND($A7&lt;&gt;"",COUNTIFS($G$38:$G$57,$A7,$H$38:$H$57,J$3,$A$38:$A$57,"Revue")&gt;0)</formula>
    </cfRule>
  </conditionalFormatting>
  <conditionalFormatting sqref="E8">
    <cfRule type="expression" priority="46" aboveAverage="0" equalAverage="0" bottom="0" percent="0" rank="0" text="" dxfId="0">
      <formula>$E8="Non commencé"</formula>
    </cfRule>
    <cfRule type="expression" priority="47" aboveAverage="0" equalAverage="0" bottom="0" percent="0" rank="0" text="" dxfId="1">
      <formula>$E8="En cours"</formula>
    </cfRule>
    <cfRule type="expression" priority="48" aboveAverage="0" equalAverage="0" bottom="0" percent="0" rank="0" text="" dxfId="2">
      <formula>$E8="Réalisé"</formula>
    </cfRule>
  </conditionalFormatting>
  <conditionalFormatting sqref="F8">
    <cfRule type="expression" priority="49" aboveAverage="0" equalAverage="0" bottom="0" percent="0" rank="0" text="" dxfId="3">
      <formula>AND($C8&lt;&gt;"",N($G8)&gt;0,SUMIF(Répartition!$A$4:$A$103,$C8,Répartition!$C$4:$C$103)&lt;&gt;$G8)</formula>
    </cfRule>
  </conditionalFormatting>
  <conditionalFormatting sqref="C8">
    <cfRule type="expression" priority="50" aboveAverage="0" equalAverage="0" bottom="0" percent="0" rank="0" text="" dxfId="4">
      <formula>$E8="Réalisé"</formula>
    </cfRule>
  </conditionalFormatting>
  <conditionalFormatting sqref="J8:AA8">
    <cfRule type="expression" priority="51" aboveAverage="0" equalAverage="0" bottom="0" percent="0" rank="0" text="" dxfId="17">
      <formula>AND(J8&gt;0,$E8="Réalisé")</formula>
    </cfRule>
    <cfRule type="expression" priority="52" aboveAverage="0" equalAverage="0" bottom="0" percent="0" rank="0" text="" dxfId="18">
      <formula>J8&gt;0</formula>
    </cfRule>
    <cfRule type="expression" priority="53" aboveAverage="0" equalAverage="0" bottom="0" percent="0" rank="0" text="" dxfId="7">
      <formula>AND($A8&lt;&gt;"",AND(COUNTIFS($G$38:$G$57,$A8,$H$38:$H$57,J$3,$A$38:$A$57,"Jalon")&gt;0,COUNTIFS($G$38:$G$57,$A8,$H$38:$H$57,J$3,$A$38:$A$57,"Livrable")&gt;0))</formula>
    </cfRule>
    <cfRule type="expression" priority="54" aboveAverage="0" equalAverage="0" bottom="0" percent="0" rank="0" text="" dxfId="8">
      <formula>AND($A8&lt;&gt;"",COUNTIFS($G$38:$G$57,$A8,$H$38:$H$57,J$3,$A$38:$A$57,"Jalon")&gt;0)</formula>
    </cfRule>
    <cfRule type="expression" priority="55" aboveAverage="0" equalAverage="0" bottom="0" percent="0" rank="0" text="" dxfId="9">
      <formula>AND($A8&lt;&gt;"",COUNTIFS($G$38:$G$57,$A8,$H$38:$H$57,J$3,$A$38:$A$57,"Livrable")&gt;0)</formula>
    </cfRule>
    <cfRule type="expression" priority="56" aboveAverage="0" equalAverage="0" bottom="0" percent="0" rank="0" text="" dxfId="10">
      <formula>AND($A8&lt;&gt;"",COUNTIFS($G$38:$G$57,$A8,$H$38:$H$57,J$3,$A$38:$A$57,"Revue")&gt;0)</formula>
    </cfRule>
  </conditionalFormatting>
  <conditionalFormatting sqref="E9">
    <cfRule type="expression" priority="57" aboveAverage="0" equalAverage="0" bottom="0" percent="0" rank="0" text="" dxfId="0">
      <formula>$E9="Non commencé"</formula>
    </cfRule>
    <cfRule type="expression" priority="58" aboveAverage="0" equalAverage="0" bottom="0" percent="0" rank="0" text="" dxfId="1">
      <formula>$E9="En cours"</formula>
    </cfRule>
    <cfRule type="expression" priority="59" aboveAverage="0" equalAverage="0" bottom="0" percent="0" rank="0" text="" dxfId="2">
      <formula>$E9="Réalisé"</formula>
    </cfRule>
  </conditionalFormatting>
  <conditionalFormatting sqref="F9">
    <cfRule type="expression" priority="60" aboveAverage="0" equalAverage="0" bottom="0" percent="0" rank="0" text="" dxfId="3">
      <formula>AND($C9&lt;&gt;"",N($G9)&gt;0,SUMIF(Répartition!$A$4:$A$103,$C9,Répartition!$C$4:$C$103)&lt;&gt;$G9)</formula>
    </cfRule>
  </conditionalFormatting>
  <conditionalFormatting sqref="C9">
    <cfRule type="expression" priority="61" aboveAverage="0" equalAverage="0" bottom="0" percent="0" rank="0" text="" dxfId="4">
      <formula>$E9="Réalisé"</formula>
    </cfRule>
  </conditionalFormatting>
  <conditionalFormatting sqref="J9:AA9">
    <cfRule type="expression" priority="62" aboveAverage="0" equalAverage="0" bottom="0" percent="0" rank="0" text="" dxfId="19">
      <formula>AND(J9&gt;0,$E9="Réalisé")</formula>
    </cfRule>
    <cfRule type="expression" priority="63" aboveAverage="0" equalAverage="0" bottom="0" percent="0" rank="0" text="" dxfId="20">
      <formula>J9&gt;0</formula>
    </cfRule>
    <cfRule type="expression" priority="64" aboveAverage="0" equalAverage="0" bottom="0" percent="0" rank="0" text="" dxfId="7">
      <formula>AND($A9&lt;&gt;"",AND(COUNTIFS($G$38:$G$57,$A9,$H$38:$H$57,J$3,$A$38:$A$57,"Jalon")&gt;0,COUNTIFS($G$38:$G$57,$A9,$H$38:$H$57,J$3,$A$38:$A$57,"Livrable")&gt;0))</formula>
    </cfRule>
    <cfRule type="expression" priority="65" aboveAverage="0" equalAverage="0" bottom="0" percent="0" rank="0" text="" dxfId="8">
      <formula>AND($A9&lt;&gt;"",COUNTIFS($G$38:$G$57,$A9,$H$38:$H$57,J$3,$A$38:$A$57,"Jalon")&gt;0)</formula>
    </cfRule>
    <cfRule type="expression" priority="66" aboveAverage="0" equalAverage="0" bottom="0" percent="0" rank="0" text="" dxfId="9">
      <formula>AND($A9&lt;&gt;"",COUNTIFS($G$38:$G$57,$A9,$H$38:$H$57,J$3,$A$38:$A$57,"Livrable")&gt;0)</formula>
    </cfRule>
    <cfRule type="expression" priority="67" aboveAverage="0" equalAverage="0" bottom="0" percent="0" rank="0" text="" dxfId="10">
      <formula>AND($A9&lt;&gt;"",COUNTIFS($G$38:$G$57,$A9,$H$38:$H$57,J$3,$A$38:$A$57,"Revue")&gt;0)</formula>
    </cfRule>
  </conditionalFormatting>
  <conditionalFormatting sqref="E10">
    <cfRule type="expression" priority="68" aboveAverage="0" equalAverage="0" bottom="0" percent="0" rank="0" text="" dxfId="0">
      <formula>$E10="Non commencé"</formula>
    </cfRule>
    <cfRule type="expression" priority="69" aboveAverage="0" equalAverage="0" bottom="0" percent="0" rank="0" text="" dxfId="1">
      <formula>$E10="En cours"</formula>
    </cfRule>
    <cfRule type="expression" priority="70" aboveAverage="0" equalAverage="0" bottom="0" percent="0" rank="0" text="" dxfId="2">
      <formula>$E10="Réalisé"</formula>
    </cfRule>
  </conditionalFormatting>
  <conditionalFormatting sqref="F10">
    <cfRule type="expression" priority="71" aboveAverage="0" equalAverage="0" bottom="0" percent="0" rank="0" text="" dxfId="3">
      <formula>AND($C10&lt;&gt;"",N($G10)&gt;0,SUMIF(Répartition!$A$4:$A$103,$C10,Répartition!$C$4:$C$103)&lt;&gt;$G10)</formula>
    </cfRule>
  </conditionalFormatting>
  <conditionalFormatting sqref="C10">
    <cfRule type="expression" priority="72" aboveAverage="0" equalAverage="0" bottom="0" percent="0" rank="0" text="" dxfId="4">
      <formula>$E10="Réalisé"</formula>
    </cfRule>
  </conditionalFormatting>
  <conditionalFormatting sqref="J10:AA10">
    <cfRule type="expression" priority="73" aboveAverage="0" equalAverage="0" bottom="0" percent="0" rank="0" text="" dxfId="21">
      <formula>AND(J10&gt;0,$E10="Réalisé")</formula>
    </cfRule>
    <cfRule type="expression" priority="74" aboveAverage="0" equalAverage="0" bottom="0" percent="0" rank="0" text="" dxfId="22">
      <formula>J10&gt;0</formula>
    </cfRule>
    <cfRule type="expression" priority="75" aboveAverage="0" equalAverage="0" bottom="0" percent="0" rank="0" text="" dxfId="7">
      <formula>AND($A10&lt;&gt;"",AND(COUNTIFS($G$38:$G$57,$A10,$H$38:$H$57,J$3,$A$38:$A$57,"Jalon")&gt;0,COUNTIFS($G$38:$G$57,$A10,$H$38:$H$57,J$3,$A$38:$A$57,"Livrable")&gt;0))</formula>
    </cfRule>
    <cfRule type="expression" priority="76" aboveAverage="0" equalAverage="0" bottom="0" percent="0" rank="0" text="" dxfId="8">
      <formula>AND($A10&lt;&gt;"",COUNTIFS($G$38:$G$57,$A10,$H$38:$H$57,J$3,$A$38:$A$57,"Jalon")&gt;0)</formula>
    </cfRule>
    <cfRule type="expression" priority="77" aboveAverage="0" equalAverage="0" bottom="0" percent="0" rank="0" text="" dxfId="9">
      <formula>AND($A10&lt;&gt;"",COUNTIFS($G$38:$G$57,$A10,$H$38:$H$57,J$3,$A$38:$A$57,"Livrable")&gt;0)</formula>
    </cfRule>
    <cfRule type="expression" priority="78" aboveAverage="0" equalAverage="0" bottom="0" percent="0" rank="0" text="" dxfId="10">
      <formula>AND($A10&lt;&gt;"",COUNTIFS($G$38:$G$57,$A10,$H$38:$H$57,J$3,$A$38:$A$57,"Revue")&gt;0)</formula>
    </cfRule>
  </conditionalFormatting>
  <conditionalFormatting sqref="E11">
    <cfRule type="expression" priority="79" aboveAverage="0" equalAverage="0" bottom="0" percent="0" rank="0" text="" dxfId="0">
      <formula>$E11="Non commencé"</formula>
    </cfRule>
    <cfRule type="expression" priority="80" aboveAverage="0" equalAverage="0" bottom="0" percent="0" rank="0" text="" dxfId="1">
      <formula>$E11="En cours"</formula>
    </cfRule>
    <cfRule type="expression" priority="81" aboveAverage="0" equalAverage="0" bottom="0" percent="0" rank="0" text="" dxfId="2">
      <formula>$E11="Réalisé"</formula>
    </cfRule>
  </conditionalFormatting>
  <conditionalFormatting sqref="F11">
    <cfRule type="expression" priority="82" aboveAverage="0" equalAverage="0" bottom="0" percent="0" rank="0" text="" dxfId="3">
      <formula>AND($C11&lt;&gt;"",N($G11)&gt;0,SUMIF(Répartition!$A$4:$A$103,$C11,Répartition!$C$4:$C$103)&lt;&gt;$G11)</formula>
    </cfRule>
  </conditionalFormatting>
  <conditionalFormatting sqref="C11">
    <cfRule type="expression" priority="83" aboveAverage="0" equalAverage="0" bottom="0" percent="0" rank="0" text="" dxfId="4">
      <formula>$E11="Réalisé"</formula>
    </cfRule>
  </conditionalFormatting>
  <conditionalFormatting sqref="J11:AA11">
    <cfRule type="expression" priority="84" aboveAverage="0" equalAverage="0" bottom="0" percent="0" rank="0" text="" dxfId="23">
      <formula>AND(J11&gt;0,$E11="Réalisé")</formula>
    </cfRule>
    <cfRule type="expression" priority="85" aboveAverage="0" equalAverage="0" bottom="0" percent="0" rank="0" text="" dxfId="24">
      <formula>J11&gt;0</formula>
    </cfRule>
    <cfRule type="expression" priority="86" aboveAverage="0" equalAverage="0" bottom="0" percent="0" rank="0" text="" dxfId="7">
      <formula>AND($A11&lt;&gt;"",AND(COUNTIFS($G$38:$G$57,$A11,$H$38:$H$57,J$3,$A$38:$A$57,"Jalon")&gt;0,COUNTIFS($G$38:$G$57,$A11,$H$38:$H$57,J$3,$A$38:$A$57,"Livrable")&gt;0))</formula>
    </cfRule>
    <cfRule type="expression" priority="87" aboveAverage="0" equalAverage="0" bottom="0" percent="0" rank="0" text="" dxfId="8">
      <formula>AND($A11&lt;&gt;"",COUNTIFS($G$38:$G$57,$A11,$H$38:$H$57,J$3,$A$38:$A$57,"Jalon")&gt;0)</formula>
    </cfRule>
    <cfRule type="expression" priority="88" aboveAverage="0" equalAverage="0" bottom="0" percent="0" rank="0" text="" dxfId="9">
      <formula>AND($A11&lt;&gt;"",COUNTIFS($G$38:$G$57,$A11,$H$38:$H$57,J$3,$A$38:$A$57,"Livrable")&gt;0)</formula>
    </cfRule>
    <cfRule type="expression" priority="89" aboveAverage="0" equalAverage="0" bottom="0" percent="0" rank="0" text="" dxfId="10">
      <formula>AND($A11&lt;&gt;"",COUNTIFS($G$38:$G$57,$A11,$H$38:$H$57,J$3,$A$38:$A$57,"Revue")&gt;0)</formula>
    </cfRule>
  </conditionalFormatting>
  <conditionalFormatting sqref="E12">
    <cfRule type="expression" priority="90" aboveAverage="0" equalAverage="0" bottom="0" percent="0" rank="0" text="" dxfId="0">
      <formula>$E12="Non commencé"</formula>
    </cfRule>
    <cfRule type="expression" priority="91" aboveAverage="0" equalAverage="0" bottom="0" percent="0" rank="0" text="" dxfId="1">
      <formula>$E12="En cours"</formula>
    </cfRule>
    <cfRule type="expression" priority="92" aboveAverage="0" equalAverage="0" bottom="0" percent="0" rank="0" text="" dxfId="2">
      <formula>$E12="Réalisé"</formula>
    </cfRule>
  </conditionalFormatting>
  <conditionalFormatting sqref="F12">
    <cfRule type="expression" priority="93" aboveAverage="0" equalAverage="0" bottom="0" percent="0" rank="0" text="" dxfId="3">
      <formula>AND($C12&lt;&gt;"",N($G12)&gt;0,SUMIF(Répartition!$A$4:$A$103,$C12,Répartition!$C$4:$C$103)&lt;&gt;$G12)</formula>
    </cfRule>
  </conditionalFormatting>
  <conditionalFormatting sqref="C12">
    <cfRule type="expression" priority="94" aboveAverage="0" equalAverage="0" bottom="0" percent="0" rank="0" text="" dxfId="4">
      <formula>$E12="Réalisé"</formula>
    </cfRule>
  </conditionalFormatting>
  <conditionalFormatting sqref="J12:AA12">
    <cfRule type="expression" priority="95" aboveAverage="0" equalAverage="0" bottom="0" percent="0" rank="0" text="" dxfId="25">
      <formula>AND(J12&gt;0,$E12="Réalisé")</formula>
    </cfRule>
    <cfRule type="expression" priority="96" aboveAverage="0" equalAverage="0" bottom="0" percent="0" rank="0" text="" dxfId="26">
      <formula>J12&gt;0</formula>
    </cfRule>
    <cfRule type="expression" priority="97" aboveAverage="0" equalAverage="0" bottom="0" percent="0" rank="0" text="" dxfId="7">
      <formula>AND($A12&lt;&gt;"",AND(COUNTIFS($G$38:$G$57,$A12,$H$38:$H$57,J$3,$A$38:$A$57,"Jalon")&gt;0,COUNTIFS($G$38:$G$57,$A12,$H$38:$H$57,J$3,$A$38:$A$57,"Livrable")&gt;0))</formula>
    </cfRule>
    <cfRule type="expression" priority="98" aboveAverage="0" equalAverage="0" bottom="0" percent="0" rank="0" text="" dxfId="8">
      <formula>AND($A12&lt;&gt;"",COUNTIFS($G$38:$G$57,$A12,$H$38:$H$57,J$3,$A$38:$A$57,"Jalon")&gt;0)</formula>
    </cfRule>
    <cfRule type="expression" priority="99" aboveAverage="0" equalAverage="0" bottom="0" percent="0" rank="0" text="" dxfId="9">
      <formula>AND($A12&lt;&gt;"",COUNTIFS($G$38:$G$57,$A12,$H$38:$H$57,J$3,$A$38:$A$57,"Livrable")&gt;0)</formula>
    </cfRule>
    <cfRule type="expression" priority="100" aboveAverage="0" equalAverage="0" bottom="0" percent="0" rank="0" text="" dxfId="10">
      <formula>AND($A12&lt;&gt;"",COUNTIFS($G$38:$G$57,$A12,$H$38:$H$57,J$3,$A$38:$A$57,"Revue")&gt;0)</formula>
    </cfRule>
  </conditionalFormatting>
  <conditionalFormatting sqref="E13">
    <cfRule type="expression" priority="101" aboveAverage="0" equalAverage="0" bottom="0" percent="0" rank="0" text="" dxfId="0">
      <formula>$E13="Non commencé"</formula>
    </cfRule>
    <cfRule type="expression" priority="102" aboveAverage="0" equalAverage="0" bottom="0" percent="0" rank="0" text="" dxfId="1">
      <formula>$E13="En cours"</formula>
    </cfRule>
    <cfRule type="expression" priority="103" aboveAverage="0" equalAverage="0" bottom="0" percent="0" rank="0" text="" dxfId="2">
      <formula>$E13="Réalisé"</formula>
    </cfRule>
  </conditionalFormatting>
  <conditionalFormatting sqref="F13">
    <cfRule type="expression" priority="104" aboveAverage="0" equalAverage="0" bottom="0" percent="0" rank="0" text="" dxfId="3">
      <formula>AND($C13&lt;&gt;"",N($G13)&gt;0,SUMIF(Répartition!$A$4:$A$103,$C13,Répartition!$C$4:$C$103)&lt;&gt;$G13)</formula>
    </cfRule>
  </conditionalFormatting>
  <conditionalFormatting sqref="C13">
    <cfRule type="expression" priority="105" aboveAverage="0" equalAverage="0" bottom="0" percent="0" rank="0" text="" dxfId="4">
      <formula>$E13="Réalisé"</formula>
    </cfRule>
  </conditionalFormatting>
  <conditionalFormatting sqref="J13:AA13">
    <cfRule type="expression" priority="106" aboveAverage="0" equalAverage="0" bottom="0" percent="0" rank="0" text="" dxfId="27">
      <formula>AND(J13&gt;0,$E13="Réalisé")</formula>
    </cfRule>
    <cfRule type="expression" priority="107" aboveAverage="0" equalAverage="0" bottom="0" percent="0" rank="0" text="" dxfId="28">
      <formula>J13&gt;0</formula>
    </cfRule>
    <cfRule type="expression" priority="108" aboveAverage="0" equalAverage="0" bottom="0" percent="0" rank="0" text="" dxfId="7">
      <formula>AND($A13&lt;&gt;"",AND(COUNTIFS($G$38:$G$57,$A13,$H$38:$H$57,J$3,$A$38:$A$57,"Jalon")&gt;0,COUNTIFS($G$38:$G$57,$A13,$H$38:$H$57,J$3,$A$38:$A$57,"Livrable")&gt;0))</formula>
    </cfRule>
    <cfRule type="expression" priority="109" aboveAverage="0" equalAverage="0" bottom="0" percent="0" rank="0" text="" dxfId="8">
      <formula>AND($A13&lt;&gt;"",COUNTIFS($G$38:$G$57,$A13,$H$38:$H$57,J$3,$A$38:$A$57,"Jalon")&gt;0)</formula>
    </cfRule>
    <cfRule type="expression" priority="110" aboveAverage="0" equalAverage="0" bottom="0" percent="0" rank="0" text="" dxfId="9">
      <formula>AND($A13&lt;&gt;"",COUNTIFS($G$38:$G$57,$A13,$H$38:$H$57,J$3,$A$38:$A$57,"Livrable")&gt;0)</formula>
    </cfRule>
    <cfRule type="expression" priority="111" aboveAverage="0" equalAverage="0" bottom="0" percent="0" rank="0" text="" dxfId="10">
      <formula>AND($A13&lt;&gt;"",COUNTIFS($G$38:$G$57,$A13,$H$38:$H$57,J$3,$A$38:$A$57,"Revue")&gt;0)</formula>
    </cfRule>
  </conditionalFormatting>
  <conditionalFormatting sqref="E14">
    <cfRule type="expression" priority="112" aboveAverage="0" equalAverage="0" bottom="0" percent="0" rank="0" text="" dxfId="0">
      <formula>$E14="Non commencé"</formula>
    </cfRule>
    <cfRule type="expression" priority="113" aboveAverage="0" equalAverage="0" bottom="0" percent="0" rank="0" text="" dxfId="1">
      <formula>$E14="En cours"</formula>
    </cfRule>
    <cfRule type="expression" priority="114" aboveAverage="0" equalAverage="0" bottom="0" percent="0" rank="0" text="" dxfId="2">
      <formula>$E14="Réalisé"</formula>
    </cfRule>
  </conditionalFormatting>
  <conditionalFormatting sqref="F14">
    <cfRule type="expression" priority="115" aboveAverage="0" equalAverage="0" bottom="0" percent="0" rank="0" text="" dxfId="3">
      <formula>AND($C14&lt;&gt;"",N($G14)&gt;0,SUMIF(Répartition!$A$4:$A$103,$C14,Répartition!$C$4:$C$103)&lt;&gt;$G14)</formula>
    </cfRule>
  </conditionalFormatting>
  <conditionalFormatting sqref="C14">
    <cfRule type="expression" priority="116" aboveAverage="0" equalAverage="0" bottom="0" percent="0" rank="0" text="" dxfId="4">
      <formula>$E14="Réalisé"</formula>
    </cfRule>
  </conditionalFormatting>
  <conditionalFormatting sqref="J14:AA14">
    <cfRule type="expression" priority="117" aboveAverage="0" equalAverage="0" bottom="0" percent="0" rank="0" text="" dxfId="29">
      <formula>AND(J14&gt;0,$E14="Réalisé")</formula>
    </cfRule>
    <cfRule type="expression" priority="118" aboveAverage="0" equalAverage="0" bottom="0" percent="0" rank="0" text="" dxfId="30">
      <formula>J14&gt;0</formula>
    </cfRule>
    <cfRule type="expression" priority="119" aboveAverage="0" equalAverage="0" bottom="0" percent="0" rank="0" text="" dxfId="7">
      <formula>AND($A14&lt;&gt;"",AND(COUNTIFS($G$38:$G$57,$A14,$H$38:$H$57,J$3,$A$38:$A$57,"Jalon")&gt;0,COUNTIFS($G$38:$G$57,$A14,$H$38:$H$57,J$3,$A$38:$A$57,"Livrable")&gt;0))</formula>
    </cfRule>
    <cfRule type="expression" priority="120" aboveAverage="0" equalAverage="0" bottom="0" percent="0" rank="0" text="" dxfId="8">
      <formula>AND($A14&lt;&gt;"",COUNTIFS($G$38:$G$57,$A14,$H$38:$H$57,J$3,$A$38:$A$57,"Jalon")&gt;0)</formula>
    </cfRule>
    <cfRule type="expression" priority="121" aboveAverage="0" equalAverage="0" bottom="0" percent="0" rank="0" text="" dxfId="9">
      <formula>AND($A14&lt;&gt;"",COUNTIFS($G$38:$G$57,$A14,$H$38:$H$57,J$3,$A$38:$A$57,"Livrable")&gt;0)</formula>
    </cfRule>
    <cfRule type="expression" priority="122" aboveAverage="0" equalAverage="0" bottom="0" percent="0" rank="0" text="" dxfId="10">
      <formula>AND($A14&lt;&gt;"",COUNTIFS($G$38:$G$57,$A14,$H$38:$H$57,J$3,$A$38:$A$57,"Revue")&gt;0)</formula>
    </cfRule>
  </conditionalFormatting>
  <conditionalFormatting sqref="E15">
    <cfRule type="expression" priority="123" aboveAverage="0" equalAverage="0" bottom="0" percent="0" rank="0" text="" dxfId="0">
      <formula>$E15="Non commencé"</formula>
    </cfRule>
    <cfRule type="expression" priority="124" aboveAverage="0" equalAverage="0" bottom="0" percent="0" rank="0" text="" dxfId="1">
      <formula>$E15="En cours"</formula>
    </cfRule>
    <cfRule type="expression" priority="125" aboveAverage="0" equalAverage="0" bottom="0" percent="0" rank="0" text="" dxfId="2">
      <formula>$E15="Réalisé"</formula>
    </cfRule>
  </conditionalFormatting>
  <conditionalFormatting sqref="F15">
    <cfRule type="expression" priority="126" aboveAverage="0" equalAverage="0" bottom="0" percent="0" rank="0" text="" dxfId="3">
      <formula>AND($C15&lt;&gt;"",N($G15)&gt;0,SUMIF(Répartition!$A$4:$A$103,$C15,Répartition!$C$4:$C$103)&lt;&gt;$G15)</formula>
    </cfRule>
  </conditionalFormatting>
  <conditionalFormatting sqref="C15">
    <cfRule type="expression" priority="127" aboveAverage="0" equalAverage="0" bottom="0" percent="0" rank="0" text="" dxfId="4">
      <formula>$E15="Réalisé"</formula>
    </cfRule>
  </conditionalFormatting>
  <conditionalFormatting sqref="J15:AA15">
    <cfRule type="expression" priority="128" aboveAverage="0" equalAverage="0" bottom="0" percent="0" rank="0" text="" dxfId="31">
      <formula>AND(J15&gt;0,$E15="Réalisé")</formula>
    </cfRule>
    <cfRule type="expression" priority="129" aboveAverage="0" equalAverage="0" bottom="0" percent="0" rank="0" text="" dxfId="32">
      <formula>J15&gt;0</formula>
    </cfRule>
    <cfRule type="expression" priority="130" aboveAverage="0" equalAverage="0" bottom="0" percent="0" rank="0" text="" dxfId="7">
      <formula>AND($A15&lt;&gt;"",AND(COUNTIFS($G$38:$G$57,$A15,$H$38:$H$57,J$3,$A$38:$A$57,"Jalon")&gt;0,COUNTIFS($G$38:$G$57,$A15,$H$38:$H$57,J$3,$A$38:$A$57,"Livrable")&gt;0))</formula>
    </cfRule>
    <cfRule type="expression" priority="131" aboveAverage="0" equalAverage="0" bottom="0" percent="0" rank="0" text="" dxfId="8">
      <formula>AND($A15&lt;&gt;"",COUNTIFS($G$38:$G$57,$A15,$H$38:$H$57,J$3,$A$38:$A$57,"Jalon")&gt;0)</formula>
    </cfRule>
    <cfRule type="expression" priority="132" aboveAverage="0" equalAverage="0" bottom="0" percent="0" rank="0" text="" dxfId="9">
      <formula>AND($A15&lt;&gt;"",COUNTIFS($G$38:$G$57,$A15,$H$38:$H$57,J$3,$A$38:$A$57,"Livrable")&gt;0)</formula>
    </cfRule>
    <cfRule type="expression" priority="133" aboveAverage="0" equalAverage="0" bottom="0" percent="0" rank="0" text="" dxfId="10">
      <formula>AND($A15&lt;&gt;"",COUNTIFS($G$38:$G$57,$A15,$H$38:$H$57,J$3,$A$38:$A$57,"Revue")&gt;0)</formula>
    </cfRule>
  </conditionalFormatting>
  <conditionalFormatting sqref="E16">
    <cfRule type="expression" priority="134" aboveAverage="0" equalAverage="0" bottom="0" percent="0" rank="0" text="" dxfId="0">
      <formula>$E16="Non commencé"</formula>
    </cfRule>
    <cfRule type="expression" priority="135" aboveAverage="0" equalAverage="0" bottom="0" percent="0" rank="0" text="" dxfId="1">
      <formula>$E16="En cours"</formula>
    </cfRule>
    <cfRule type="expression" priority="136" aboveAverage="0" equalAverage="0" bottom="0" percent="0" rank="0" text="" dxfId="2">
      <formula>$E16="Réalisé"</formula>
    </cfRule>
  </conditionalFormatting>
  <conditionalFormatting sqref="F16">
    <cfRule type="expression" priority="137" aboveAverage="0" equalAverage="0" bottom="0" percent="0" rank="0" text="" dxfId="3">
      <formula>AND($C16&lt;&gt;"",N($G16)&gt;0,SUMIF(Répartition!$A$4:$A$103,$C16,Répartition!$C$4:$C$103)&lt;&gt;$G16)</formula>
    </cfRule>
  </conditionalFormatting>
  <conditionalFormatting sqref="C16">
    <cfRule type="expression" priority="138" aboveAverage="0" equalAverage="0" bottom="0" percent="0" rank="0" text="" dxfId="4">
      <formula>$E16="Réalisé"</formula>
    </cfRule>
  </conditionalFormatting>
  <conditionalFormatting sqref="J16:AA16">
    <cfRule type="expression" priority="139" aboveAverage="0" equalAverage="0" bottom="0" percent="0" rank="0" text="" dxfId="33">
      <formula>AND(J16&gt;0,$E16="Réalisé")</formula>
    </cfRule>
    <cfRule type="expression" priority="140" aboveAverage="0" equalAverage="0" bottom="0" percent="0" rank="0" text="" dxfId="34">
      <formula>J16&gt;0</formula>
    </cfRule>
    <cfRule type="expression" priority="141" aboveAverage="0" equalAverage="0" bottom="0" percent="0" rank="0" text="" dxfId="7">
      <formula>AND($A16&lt;&gt;"",AND(COUNTIFS($G$38:$G$57,$A16,$H$38:$H$57,J$3,$A$38:$A$57,"Jalon")&gt;0,COUNTIFS($G$38:$G$57,$A16,$H$38:$H$57,J$3,$A$38:$A$57,"Livrable")&gt;0))</formula>
    </cfRule>
    <cfRule type="expression" priority="142" aboveAverage="0" equalAverage="0" bottom="0" percent="0" rank="0" text="" dxfId="8">
      <formula>AND($A16&lt;&gt;"",COUNTIFS($G$38:$G$57,$A16,$H$38:$H$57,J$3,$A$38:$A$57,"Jalon")&gt;0)</formula>
    </cfRule>
    <cfRule type="expression" priority="143" aboveAverage="0" equalAverage="0" bottom="0" percent="0" rank="0" text="" dxfId="9">
      <formula>AND($A16&lt;&gt;"",COUNTIFS($G$38:$G$57,$A16,$H$38:$H$57,J$3,$A$38:$A$57,"Livrable")&gt;0)</formula>
    </cfRule>
    <cfRule type="expression" priority="144" aboveAverage="0" equalAverage="0" bottom="0" percent="0" rank="0" text="" dxfId="10">
      <formula>AND($A16&lt;&gt;"",COUNTIFS($G$38:$G$57,$A16,$H$38:$H$57,J$3,$A$38:$A$57,"Revue")&gt;0)</formula>
    </cfRule>
  </conditionalFormatting>
  <conditionalFormatting sqref="E17">
    <cfRule type="expression" priority="145" aboveAverage="0" equalAverage="0" bottom="0" percent="0" rank="0" text="" dxfId="0">
      <formula>$E17="Non commencé"</formula>
    </cfRule>
    <cfRule type="expression" priority="146" aboveAverage="0" equalAverage="0" bottom="0" percent="0" rank="0" text="" dxfId="1">
      <formula>$E17="En cours"</formula>
    </cfRule>
    <cfRule type="expression" priority="147" aboveAverage="0" equalAverage="0" bottom="0" percent="0" rank="0" text="" dxfId="2">
      <formula>$E17="Réalisé"</formula>
    </cfRule>
  </conditionalFormatting>
  <conditionalFormatting sqref="F17">
    <cfRule type="expression" priority="148" aboveAverage="0" equalAverage="0" bottom="0" percent="0" rank="0" text="" dxfId="3">
      <formula>AND($C17&lt;&gt;"",N($G17)&gt;0,SUMIF(Répartition!$A$4:$A$103,$C17,Répartition!$C$4:$C$103)&lt;&gt;$G17)</formula>
    </cfRule>
  </conditionalFormatting>
  <conditionalFormatting sqref="C17">
    <cfRule type="expression" priority="149" aboveAverage="0" equalAverage="0" bottom="0" percent="0" rank="0" text="" dxfId="4">
      <formula>$E17="Réalisé"</formula>
    </cfRule>
  </conditionalFormatting>
  <conditionalFormatting sqref="J17:AA17">
    <cfRule type="expression" priority="150" aboveAverage="0" equalAverage="0" bottom="0" percent="0" rank="0" text="" dxfId="35">
      <formula>AND(J17&gt;0,$E17="Réalisé")</formula>
    </cfRule>
    <cfRule type="expression" priority="151" aboveAverage="0" equalAverage="0" bottom="0" percent="0" rank="0" text="" dxfId="36">
      <formula>J17&gt;0</formula>
    </cfRule>
    <cfRule type="expression" priority="152" aboveAverage="0" equalAverage="0" bottom="0" percent="0" rank="0" text="" dxfId="7">
      <formula>AND($A17&lt;&gt;"",AND(COUNTIFS($G$38:$G$57,$A17,$H$38:$H$57,J$3,$A$38:$A$57,"Jalon")&gt;0,COUNTIFS($G$38:$G$57,$A17,$H$38:$H$57,J$3,$A$38:$A$57,"Livrable")&gt;0))</formula>
    </cfRule>
    <cfRule type="expression" priority="153" aboveAverage="0" equalAverage="0" bottom="0" percent="0" rank="0" text="" dxfId="8">
      <formula>AND($A17&lt;&gt;"",COUNTIFS($G$38:$G$57,$A17,$H$38:$H$57,J$3,$A$38:$A$57,"Jalon")&gt;0)</formula>
    </cfRule>
    <cfRule type="expression" priority="154" aboveAverage="0" equalAverage="0" bottom="0" percent="0" rank="0" text="" dxfId="9">
      <formula>AND($A17&lt;&gt;"",COUNTIFS($G$38:$G$57,$A17,$H$38:$H$57,J$3,$A$38:$A$57,"Livrable")&gt;0)</formula>
    </cfRule>
    <cfRule type="expression" priority="155" aboveAverage="0" equalAverage="0" bottom="0" percent="0" rank="0" text="" dxfId="10">
      <formula>AND($A17&lt;&gt;"",COUNTIFS($G$38:$G$57,$A17,$H$38:$H$57,J$3,$A$38:$A$57,"Revue")&gt;0)</formula>
    </cfRule>
  </conditionalFormatting>
  <conditionalFormatting sqref="E18">
    <cfRule type="expression" priority="156" aboveAverage="0" equalAverage="0" bottom="0" percent="0" rank="0" text="" dxfId="0">
      <formula>$E18="Non commencé"</formula>
    </cfRule>
    <cfRule type="expression" priority="157" aboveAverage="0" equalAverage="0" bottom="0" percent="0" rank="0" text="" dxfId="1">
      <formula>$E18="En cours"</formula>
    </cfRule>
    <cfRule type="expression" priority="158" aboveAverage="0" equalAverage="0" bottom="0" percent="0" rank="0" text="" dxfId="2">
      <formula>$E18="Réalisé"</formula>
    </cfRule>
  </conditionalFormatting>
  <conditionalFormatting sqref="F18">
    <cfRule type="expression" priority="159" aboveAverage="0" equalAverage="0" bottom="0" percent="0" rank="0" text="" dxfId="3">
      <formula>AND($C18&lt;&gt;"",N($G18)&gt;0,SUMIF(Répartition!$A$4:$A$103,$C18,Répartition!$C$4:$C$103)&lt;&gt;$G18)</formula>
    </cfRule>
  </conditionalFormatting>
  <conditionalFormatting sqref="C18">
    <cfRule type="expression" priority="160" aboveAverage="0" equalAverage="0" bottom="0" percent="0" rank="0" text="" dxfId="4">
      <formula>$E18="Réalisé"</formula>
    </cfRule>
  </conditionalFormatting>
  <conditionalFormatting sqref="J18:AA18">
    <cfRule type="expression" priority="161" aboveAverage="0" equalAverage="0" bottom="0" percent="0" rank="0" text="" dxfId="37">
      <formula>AND(J18&gt;0,$E18="Réalisé")</formula>
    </cfRule>
    <cfRule type="expression" priority="162" aboveAverage="0" equalAverage="0" bottom="0" percent="0" rank="0" text="" dxfId="38">
      <formula>J18&gt;0</formula>
    </cfRule>
    <cfRule type="expression" priority="163" aboveAverage="0" equalAverage="0" bottom="0" percent="0" rank="0" text="" dxfId="7">
      <formula>AND($A18&lt;&gt;"",AND(COUNTIFS($G$38:$G$57,$A18,$H$38:$H$57,J$3,$A$38:$A$57,"Jalon")&gt;0,COUNTIFS($G$38:$G$57,$A18,$H$38:$H$57,J$3,$A$38:$A$57,"Livrable")&gt;0))</formula>
    </cfRule>
    <cfRule type="expression" priority="164" aboveAverage="0" equalAverage="0" bottom="0" percent="0" rank="0" text="" dxfId="8">
      <formula>AND($A18&lt;&gt;"",COUNTIFS($G$38:$G$57,$A18,$H$38:$H$57,J$3,$A$38:$A$57,"Jalon")&gt;0)</formula>
    </cfRule>
    <cfRule type="expression" priority="165" aboveAverage="0" equalAverage="0" bottom="0" percent="0" rank="0" text="" dxfId="9">
      <formula>AND($A18&lt;&gt;"",COUNTIFS($G$38:$G$57,$A18,$H$38:$H$57,J$3,$A$38:$A$57,"Livrable")&gt;0)</formula>
    </cfRule>
    <cfRule type="expression" priority="166" aboveAverage="0" equalAverage="0" bottom="0" percent="0" rank="0" text="" dxfId="10">
      <formula>AND($A18&lt;&gt;"",COUNTIFS($G$38:$G$57,$A18,$H$38:$H$57,J$3,$A$38:$A$57,"Revue")&gt;0)</formula>
    </cfRule>
  </conditionalFormatting>
  <conditionalFormatting sqref="E19">
    <cfRule type="expression" priority="167" aboveAverage="0" equalAverage="0" bottom="0" percent="0" rank="0" text="" dxfId="0">
      <formula>$E19="Non commencé"</formula>
    </cfRule>
    <cfRule type="expression" priority="168" aboveAverage="0" equalAverage="0" bottom="0" percent="0" rank="0" text="" dxfId="1">
      <formula>$E19="En cours"</formula>
    </cfRule>
    <cfRule type="expression" priority="169" aboveAverage="0" equalAverage="0" bottom="0" percent="0" rank="0" text="" dxfId="2">
      <formula>$E19="Réalisé"</formula>
    </cfRule>
  </conditionalFormatting>
  <conditionalFormatting sqref="F19">
    <cfRule type="expression" priority="170" aboveAverage="0" equalAverage="0" bottom="0" percent="0" rank="0" text="" dxfId="3">
      <formula>AND($C19&lt;&gt;"",N($G19)&gt;0,SUMIF(Répartition!$A$4:$A$103,$C19,Répartition!$C$4:$C$103)&lt;&gt;$G19)</formula>
    </cfRule>
  </conditionalFormatting>
  <conditionalFormatting sqref="C19">
    <cfRule type="expression" priority="171" aboveAverage="0" equalAverage="0" bottom="0" percent="0" rank="0" text="" dxfId="4">
      <formula>$E19="Réalisé"</formula>
    </cfRule>
  </conditionalFormatting>
  <conditionalFormatting sqref="J19:AA19">
    <cfRule type="expression" priority="172" aboveAverage="0" equalAverage="0" bottom="0" percent="0" rank="0" text="" dxfId="39">
      <formula>AND(J19&gt;0,$E19="Réalisé")</formula>
    </cfRule>
    <cfRule type="expression" priority="173" aboveAverage="0" equalAverage="0" bottom="0" percent="0" rank="0" text="" dxfId="40">
      <formula>J19&gt;0</formula>
    </cfRule>
    <cfRule type="expression" priority="174" aboveAverage="0" equalAverage="0" bottom="0" percent="0" rank="0" text="" dxfId="7">
      <formula>AND($A19&lt;&gt;"",AND(COUNTIFS($G$38:$G$57,$A19,$H$38:$H$57,J$3,$A$38:$A$57,"Jalon")&gt;0,COUNTIFS($G$38:$G$57,$A19,$H$38:$H$57,J$3,$A$38:$A$57,"Livrable")&gt;0))</formula>
    </cfRule>
    <cfRule type="expression" priority="175" aboveAverage="0" equalAverage="0" bottom="0" percent="0" rank="0" text="" dxfId="8">
      <formula>AND($A19&lt;&gt;"",COUNTIFS($G$38:$G$57,$A19,$H$38:$H$57,J$3,$A$38:$A$57,"Jalon")&gt;0)</formula>
    </cfRule>
    <cfRule type="expression" priority="176" aboveAverage="0" equalAverage="0" bottom="0" percent="0" rank="0" text="" dxfId="9">
      <formula>AND($A19&lt;&gt;"",COUNTIFS($G$38:$G$57,$A19,$H$38:$H$57,J$3,$A$38:$A$57,"Livrable")&gt;0)</formula>
    </cfRule>
    <cfRule type="expression" priority="177" aboveAverage="0" equalAverage="0" bottom="0" percent="0" rank="0" text="" dxfId="10">
      <formula>AND($A19&lt;&gt;"",COUNTIFS($G$38:$G$57,$A19,$H$38:$H$57,J$3,$A$38:$A$57,"Revue")&gt;0)</formula>
    </cfRule>
  </conditionalFormatting>
  <conditionalFormatting sqref="E20">
    <cfRule type="expression" priority="178" aboveAverage="0" equalAverage="0" bottom="0" percent="0" rank="0" text="" dxfId="0">
      <formula>$E20="Non commencé"</formula>
    </cfRule>
    <cfRule type="expression" priority="179" aboveAverage="0" equalAverage="0" bottom="0" percent="0" rank="0" text="" dxfId="1">
      <formula>$E20="En cours"</formula>
    </cfRule>
    <cfRule type="expression" priority="180" aboveAverage="0" equalAverage="0" bottom="0" percent="0" rank="0" text="" dxfId="2">
      <formula>$E20="Réalisé"</formula>
    </cfRule>
  </conditionalFormatting>
  <conditionalFormatting sqref="F20">
    <cfRule type="expression" priority="181" aboveAverage="0" equalAverage="0" bottom="0" percent="0" rank="0" text="" dxfId="3">
      <formula>AND($C20&lt;&gt;"",N($G20)&gt;0,SUMIF(Répartition!$A$4:$A$103,$C20,Répartition!$C$4:$C$103)&lt;&gt;$G20)</formula>
    </cfRule>
  </conditionalFormatting>
  <conditionalFormatting sqref="C20">
    <cfRule type="expression" priority="182" aboveAverage="0" equalAverage="0" bottom="0" percent="0" rank="0" text="" dxfId="4">
      <formula>$E20="Réalisé"</formula>
    </cfRule>
  </conditionalFormatting>
  <conditionalFormatting sqref="J20:AA20">
    <cfRule type="expression" priority="183" aboveAverage="0" equalAverage="0" bottom="0" percent="0" rank="0" text="" dxfId="41">
      <formula>AND(J20&gt;0,$E20="Réalisé")</formula>
    </cfRule>
    <cfRule type="expression" priority="184" aboveAverage="0" equalAverage="0" bottom="0" percent="0" rank="0" text="" dxfId="42">
      <formula>J20&gt;0</formula>
    </cfRule>
    <cfRule type="expression" priority="185" aboveAverage="0" equalAverage="0" bottom="0" percent="0" rank="0" text="" dxfId="7">
      <formula>AND($A20&lt;&gt;"",AND(COUNTIFS($G$38:$G$57,$A20,$H$38:$H$57,J$3,$A$38:$A$57,"Jalon")&gt;0,COUNTIFS($G$38:$G$57,$A20,$H$38:$H$57,J$3,$A$38:$A$57,"Livrable")&gt;0))</formula>
    </cfRule>
    <cfRule type="expression" priority="186" aboveAverage="0" equalAverage="0" bottom="0" percent="0" rank="0" text="" dxfId="8">
      <formula>AND($A20&lt;&gt;"",COUNTIFS($G$38:$G$57,$A20,$H$38:$H$57,J$3,$A$38:$A$57,"Jalon")&gt;0)</formula>
    </cfRule>
    <cfRule type="expression" priority="187" aboveAverage="0" equalAverage="0" bottom="0" percent="0" rank="0" text="" dxfId="9">
      <formula>AND($A20&lt;&gt;"",COUNTIFS($G$38:$G$57,$A20,$H$38:$H$57,J$3,$A$38:$A$57,"Livrable")&gt;0)</formula>
    </cfRule>
    <cfRule type="expression" priority="188" aboveAverage="0" equalAverage="0" bottom="0" percent="0" rank="0" text="" dxfId="10">
      <formula>AND($A20&lt;&gt;"",COUNTIFS($G$38:$G$57,$A20,$H$38:$H$57,J$3,$A$38:$A$57,"Revue")&gt;0)</formula>
    </cfRule>
  </conditionalFormatting>
  <conditionalFormatting sqref="E21">
    <cfRule type="expression" priority="189" aboveAverage="0" equalAverage="0" bottom="0" percent="0" rank="0" text="" dxfId="0">
      <formula>$E21="Non commencé"</formula>
    </cfRule>
    <cfRule type="expression" priority="190" aboveAverage="0" equalAverage="0" bottom="0" percent="0" rank="0" text="" dxfId="1">
      <formula>$E21="En cours"</formula>
    </cfRule>
    <cfRule type="expression" priority="191" aboveAverage="0" equalAverage="0" bottom="0" percent="0" rank="0" text="" dxfId="2">
      <formula>$E21="Réalisé"</formula>
    </cfRule>
  </conditionalFormatting>
  <conditionalFormatting sqref="F21">
    <cfRule type="expression" priority="192" aboveAverage="0" equalAverage="0" bottom="0" percent="0" rank="0" text="" dxfId="3">
      <formula>AND($C21&lt;&gt;"",N($G21)&gt;0,SUMIF(Répartition!$A$4:$A$103,$C21,Répartition!$C$4:$C$103)&lt;&gt;$G21)</formula>
    </cfRule>
  </conditionalFormatting>
  <conditionalFormatting sqref="C21">
    <cfRule type="expression" priority="193" aboveAverage="0" equalAverage="0" bottom="0" percent="0" rank="0" text="" dxfId="4">
      <formula>$E21="Réalisé"</formula>
    </cfRule>
  </conditionalFormatting>
  <conditionalFormatting sqref="J21:AA21">
    <cfRule type="expression" priority="194" aboveAverage="0" equalAverage="0" bottom="0" percent="0" rank="0" text="" dxfId="43">
      <formula>AND(J21&gt;0,$E21="Réalisé")</formula>
    </cfRule>
    <cfRule type="expression" priority="195" aboveAverage="0" equalAverage="0" bottom="0" percent="0" rank="0" text="" dxfId="44">
      <formula>J21&gt;0</formula>
    </cfRule>
    <cfRule type="expression" priority="196" aboveAverage="0" equalAverage="0" bottom="0" percent="0" rank="0" text="" dxfId="7">
      <formula>AND($A21&lt;&gt;"",AND(COUNTIFS($G$38:$G$57,$A21,$H$38:$H$57,J$3,$A$38:$A$57,"Jalon")&gt;0,COUNTIFS($G$38:$G$57,$A21,$H$38:$H$57,J$3,$A$38:$A$57,"Livrable")&gt;0))</formula>
    </cfRule>
    <cfRule type="expression" priority="197" aboveAverage="0" equalAverage="0" bottom="0" percent="0" rank="0" text="" dxfId="8">
      <formula>AND($A21&lt;&gt;"",COUNTIFS($G$38:$G$57,$A21,$H$38:$H$57,J$3,$A$38:$A$57,"Jalon")&gt;0)</formula>
    </cfRule>
    <cfRule type="expression" priority="198" aboveAverage="0" equalAverage="0" bottom="0" percent="0" rank="0" text="" dxfId="9">
      <formula>AND($A21&lt;&gt;"",COUNTIFS($G$38:$G$57,$A21,$H$38:$H$57,J$3,$A$38:$A$57,"Livrable")&gt;0)</formula>
    </cfRule>
    <cfRule type="expression" priority="199" aboveAverage="0" equalAverage="0" bottom="0" percent="0" rank="0" text="" dxfId="10">
      <formula>AND($A21&lt;&gt;"",COUNTIFS($G$38:$G$57,$A21,$H$38:$H$57,J$3,$A$38:$A$57,"Revue")&gt;0)</formula>
    </cfRule>
  </conditionalFormatting>
  <conditionalFormatting sqref="E22">
    <cfRule type="expression" priority="200" aboveAverage="0" equalAverage="0" bottom="0" percent="0" rank="0" text="" dxfId="0">
      <formula>$E22="Non commencé"</formula>
    </cfRule>
    <cfRule type="expression" priority="201" aboveAverage="0" equalAverage="0" bottom="0" percent="0" rank="0" text="" dxfId="1">
      <formula>$E22="En cours"</formula>
    </cfRule>
    <cfRule type="expression" priority="202" aboveAverage="0" equalAverage="0" bottom="0" percent="0" rank="0" text="" dxfId="2">
      <formula>$E22="Réalisé"</formula>
    </cfRule>
  </conditionalFormatting>
  <conditionalFormatting sqref="F22">
    <cfRule type="expression" priority="203" aboveAverage="0" equalAverage="0" bottom="0" percent="0" rank="0" text="" dxfId="3">
      <formula>AND($C22&lt;&gt;"",N($G22)&gt;0,SUMIF(Répartition!$A$4:$A$103,$C22,Répartition!$C$4:$C$103)&lt;&gt;$G22)</formula>
    </cfRule>
  </conditionalFormatting>
  <conditionalFormatting sqref="C22">
    <cfRule type="expression" priority="204" aboveAverage="0" equalAverage="0" bottom="0" percent="0" rank="0" text="" dxfId="4">
      <formula>$E22="Réalisé"</formula>
    </cfRule>
  </conditionalFormatting>
  <conditionalFormatting sqref="J22:AA22">
    <cfRule type="expression" priority="205" aboveAverage="0" equalAverage="0" bottom="0" percent="0" rank="0" text="" dxfId="45">
      <formula>AND(J22&gt;0,$E22="Réalisé")</formula>
    </cfRule>
    <cfRule type="expression" priority="206" aboveAverage="0" equalAverage="0" bottom="0" percent="0" rank="0" text="" dxfId="46">
      <formula>J22&gt;0</formula>
    </cfRule>
    <cfRule type="expression" priority="207" aboveAverage="0" equalAverage="0" bottom="0" percent="0" rank="0" text="" dxfId="7">
      <formula>AND($A22&lt;&gt;"",AND(COUNTIFS($G$38:$G$57,$A22,$H$38:$H$57,J$3,$A$38:$A$57,"Jalon")&gt;0,COUNTIFS($G$38:$G$57,$A22,$H$38:$H$57,J$3,$A$38:$A$57,"Livrable")&gt;0))</formula>
    </cfRule>
    <cfRule type="expression" priority="208" aboveAverage="0" equalAverage="0" bottom="0" percent="0" rank="0" text="" dxfId="8">
      <formula>AND($A22&lt;&gt;"",COUNTIFS($G$38:$G$57,$A22,$H$38:$H$57,J$3,$A$38:$A$57,"Jalon")&gt;0)</formula>
    </cfRule>
    <cfRule type="expression" priority="209" aboveAverage="0" equalAverage="0" bottom="0" percent="0" rank="0" text="" dxfId="9">
      <formula>AND($A22&lt;&gt;"",COUNTIFS($G$38:$G$57,$A22,$H$38:$H$57,J$3,$A$38:$A$57,"Livrable")&gt;0)</formula>
    </cfRule>
    <cfRule type="expression" priority="210" aboveAverage="0" equalAverage="0" bottom="0" percent="0" rank="0" text="" dxfId="10">
      <formula>AND($A22&lt;&gt;"",COUNTIFS($G$38:$G$57,$A22,$H$38:$H$57,J$3,$A$38:$A$57,"Revue")&gt;0)</formula>
    </cfRule>
  </conditionalFormatting>
  <conditionalFormatting sqref="E23">
    <cfRule type="expression" priority="211" aboveAverage="0" equalAverage="0" bottom="0" percent="0" rank="0" text="" dxfId="0">
      <formula>$E23="Non commencé"</formula>
    </cfRule>
    <cfRule type="expression" priority="212" aboveAverage="0" equalAverage="0" bottom="0" percent="0" rank="0" text="" dxfId="1">
      <formula>$E23="En cours"</formula>
    </cfRule>
    <cfRule type="expression" priority="213" aboveAverage="0" equalAverage="0" bottom="0" percent="0" rank="0" text="" dxfId="2">
      <formula>$E23="Réalisé"</formula>
    </cfRule>
  </conditionalFormatting>
  <conditionalFormatting sqref="F23">
    <cfRule type="expression" priority="214" aboveAverage="0" equalAverage="0" bottom="0" percent="0" rank="0" text="" dxfId="3">
      <formula>AND($C23&lt;&gt;"",N($G23)&gt;0,SUMIF(Répartition!$A$4:$A$103,$C23,Répartition!$C$4:$C$103)&lt;&gt;$G23)</formula>
    </cfRule>
  </conditionalFormatting>
  <conditionalFormatting sqref="C23">
    <cfRule type="expression" priority="215" aboveAverage="0" equalAverage="0" bottom="0" percent="0" rank="0" text="" dxfId="4">
      <formula>$E23="Réalisé"</formula>
    </cfRule>
  </conditionalFormatting>
  <conditionalFormatting sqref="J23:AA23">
    <cfRule type="expression" priority="216" aboveAverage="0" equalAverage="0" bottom="0" percent="0" rank="0" text="" dxfId="47">
      <formula>AND(J23&gt;0,$E23="Réalisé")</formula>
    </cfRule>
    <cfRule type="expression" priority="217" aboveAverage="0" equalAverage="0" bottom="0" percent="0" rank="0" text="" dxfId="48">
      <formula>J23&gt;0</formula>
    </cfRule>
    <cfRule type="expression" priority="218" aboveAverage="0" equalAverage="0" bottom="0" percent="0" rank="0" text="" dxfId="7">
      <formula>AND($A23&lt;&gt;"",AND(COUNTIFS($G$38:$G$57,$A23,$H$38:$H$57,J$3,$A$38:$A$57,"Jalon")&gt;0,COUNTIFS($G$38:$G$57,$A23,$H$38:$H$57,J$3,$A$38:$A$57,"Livrable")&gt;0))</formula>
    </cfRule>
    <cfRule type="expression" priority="219" aboveAverage="0" equalAverage="0" bottom="0" percent="0" rank="0" text="" dxfId="8">
      <formula>AND($A23&lt;&gt;"",COUNTIFS($G$38:$G$57,$A23,$H$38:$H$57,J$3,$A$38:$A$57,"Jalon")&gt;0)</formula>
    </cfRule>
    <cfRule type="expression" priority="220" aboveAverage="0" equalAverage="0" bottom="0" percent="0" rank="0" text="" dxfId="9">
      <formula>AND($A23&lt;&gt;"",COUNTIFS($G$38:$G$57,$A23,$H$38:$H$57,J$3,$A$38:$A$57,"Livrable")&gt;0)</formula>
    </cfRule>
    <cfRule type="expression" priority="221" aboveAverage="0" equalAverage="0" bottom="0" percent="0" rank="0" text="" dxfId="10">
      <formula>AND($A23&lt;&gt;"",COUNTIFS($G$38:$G$57,$A23,$H$38:$H$57,J$3,$A$38:$A$57,"Revue")&gt;0)</formula>
    </cfRule>
  </conditionalFormatting>
  <conditionalFormatting sqref="E24">
    <cfRule type="expression" priority="222" aboveAverage="0" equalAverage="0" bottom="0" percent="0" rank="0" text="" dxfId="0">
      <formula>$E24="Non commencé"</formula>
    </cfRule>
    <cfRule type="expression" priority="223" aboveAverage="0" equalAverage="0" bottom="0" percent="0" rank="0" text="" dxfId="1">
      <formula>$E24="En cours"</formula>
    </cfRule>
    <cfRule type="expression" priority="224" aboveAverage="0" equalAverage="0" bottom="0" percent="0" rank="0" text="" dxfId="2">
      <formula>$E24="Réalisé"</formula>
    </cfRule>
  </conditionalFormatting>
  <conditionalFormatting sqref="F24">
    <cfRule type="expression" priority="225" aboveAverage="0" equalAverage="0" bottom="0" percent="0" rank="0" text="" dxfId="3">
      <formula>AND($C24&lt;&gt;"",N($G24)&gt;0,SUMIF(Répartition!$A$4:$A$103,$C24,Répartition!$C$4:$C$103)&lt;&gt;$G24)</formula>
    </cfRule>
  </conditionalFormatting>
  <conditionalFormatting sqref="C24">
    <cfRule type="expression" priority="226" aboveAverage="0" equalAverage="0" bottom="0" percent="0" rank="0" text="" dxfId="4">
      <formula>$E24="Réalisé"</formula>
    </cfRule>
  </conditionalFormatting>
  <conditionalFormatting sqref="J24:AA24">
    <cfRule type="expression" priority="227" aboveAverage="0" equalAverage="0" bottom="0" percent="0" rank="0" text="" dxfId="49">
      <formula>AND(J24&gt;0,$E24="Réalisé")</formula>
    </cfRule>
    <cfRule type="expression" priority="228" aboveAverage="0" equalAverage="0" bottom="0" percent="0" rank="0" text="" dxfId="50">
      <formula>J24&gt;0</formula>
    </cfRule>
    <cfRule type="expression" priority="229" aboveAverage="0" equalAverage="0" bottom="0" percent="0" rank="0" text="" dxfId="7">
      <formula>AND($A24&lt;&gt;"",AND(COUNTIFS($G$38:$G$57,$A24,$H$38:$H$57,J$3,$A$38:$A$57,"Jalon")&gt;0,COUNTIFS($G$38:$G$57,$A24,$H$38:$H$57,J$3,$A$38:$A$57,"Livrable")&gt;0))</formula>
    </cfRule>
    <cfRule type="expression" priority="230" aboveAverage="0" equalAverage="0" bottom="0" percent="0" rank="0" text="" dxfId="8">
      <formula>AND($A24&lt;&gt;"",COUNTIFS($G$38:$G$57,$A24,$H$38:$H$57,J$3,$A$38:$A$57,"Jalon")&gt;0)</formula>
    </cfRule>
    <cfRule type="expression" priority="231" aboveAverage="0" equalAverage="0" bottom="0" percent="0" rank="0" text="" dxfId="9">
      <formula>AND($A24&lt;&gt;"",COUNTIFS($G$38:$G$57,$A24,$H$38:$H$57,J$3,$A$38:$A$57,"Livrable")&gt;0)</formula>
    </cfRule>
    <cfRule type="expression" priority="232" aboveAverage="0" equalAverage="0" bottom="0" percent="0" rank="0" text="" dxfId="10">
      <formula>AND($A24&lt;&gt;"",COUNTIFS($G$38:$G$57,$A24,$H$38:$H$57,J$3,$A$38:$A$57,"Revue")&gt;0)</formula>
    </cfRule>
  </conditionalFormatting>
  <conditionalFormatting sqref="E25">
    <cfRule type="expression" priority="233" aboveAverage="0" equalAverage="0" bottom="0" percent="0" rank="0" text="" dxfId="0">
      <formula>$E25="Non commencé"</formula>
    </cfRule>
    <cfRule type="expression" priority="234" aboveAverage="0" equalAverage="0" bottom="0" percent="0" rank="0" text="" dxfId="1">
      <formula>$E25="En cours"</formula>
    </cfRule>
    <cfRule type="expression" priority="235" aboveAverage="0" equalAverage="0" bottom="0" percent="0" rank="0" text="" dxfId="2">
      <formula>$E25="Réalisé"</formula>
    </cfRule>
  </conditionalFormatting>
  <conditionalFormatting sqref="F25">
    <cfRule type="expression" priority="236" aboveAverage="0" equalAverage="0" bottom="0" percent="0" rank="0" text="" dxfId="3">
      <formula>AND($C25&lt;&gt;"",N($G25)&gt;0,SUMIF(Répartition!$A$4:$A$103,$C25,Répartition!$C$4:$C$103)&lt;&gt;$G25)</formula>
    </cfRule>
  </conditionalFormatting>
  <conditionalFormatting sqref="C25">
    <cfRule type="expression" priority="237" aboveAverage="0" equalAverage="0" bottom="0" percent="0" rank="0" text="" dxfId="4">
      <formula>$E25="Réalisé"</formula>
    </cfRule>
  </conditionalFormatting>
  <conditionalFormatting sqref="J25:AA25">
    <cfRule type="expression" priority="238" aboveAverage="0" equalAverage="0" bottom="0" percent="0" rank="0" text="" dxfId="51">
      <formula>AND(J25&gt;0,$E25="Réalisé")</formula>
    </cfRule>
    <cfRule type="expression" priority="239" aboveAverage="0" equalAverage="0" bottom="0" percent="0" rank="0" text="" dxfId="52">
      <formula>J25&gt;0</formula>
    </cfRule>
    <cfRule type="expression" priority="240" aboveAverage="0" equalAverage="0" bottom="0" percent="0" rank="0" text="" dxfId="7">
      <formula>AND($A25&lt;&gt;"",AND(COUNTIFS($G$38:$G$57,$A25,$H$38:$H$57,J$3,$A$38:$A$57,"Jalon")&gt;0,COUNTIFS($G$38:$G$57,$A25,$H$38:$H$57,J$3,$A$38:$A$57,"Livrable")&gt;0))</formula>
    </cfRule>
    <cfRule type="expression" priority="241" aboveAverage="0" equalAverage="0" bottom="0" percent="0" rank="0" text="" dxfId="8">
      <formula>AND($A25&lt;&gt;"",COUNTIFS($G$38:$G$57,$A25,$H$38:$H$57,J$3,$A$38:$A$57,"Jalon")&gt;0)</formula>
    </cfRule>
    <cfRule type="expression" priority="242" aboveAverage="0" equalAverage="0" bottom="0" percent="0" rank="0" text="" dxfId="9">
      <formula>AND($A25&lt;&gt;"",COUNTIFS($G$38:$G$57,$A25,$H$38:$H$57,J$3,$A$38:$A$57,"Livrable")&gt;0)</formula>
    </cfRule>
    <cfRule type="expression" priority="243" aboveAverage="0" equalAverage="0" bottom="0" percent="0" rank="0" text="" dxfId="10">
      <formula>AND($A25&lt;&gt;"",COUNTIFS($G$38:$G$57,$A25,$H$38:$H$57,J$3,$A$38:$A$57,"Revue")&gt;0)</formula>
    </cfRule>
  </conditionalFormatting>
  <conditionalFormatting sqref="E26">
    <cfRule type="expression" priority="244" aboveAverage="0" equalAverage="0" bottom="0" percent="0" rank="0" text="" dxfId="0">
      <formula>$E26="Non commencé"</formula>
    </cfRule>
    <cfRule type="expression" priority="245" aboveAverage="0" equalAverage="0" bottom="0" percent="0" rank="0" text="" dxfId="1">
      <formula>$E26="En cours"</formula>
    </cfRule>
    <cfRule type="expression" priority="246" aboveAverage="0" equalAverage="0" bottom="0" percent="0" rank="0" text="" dxfId="2">
      <formula>$E26="Réalisé"</formula>
    </cfRule>
  </conditionalFormatting>
  <conditionalFormatting sqref="F26">
    <cfRule type="expression" priority="247" aboveAverage="0" equalAverage="0" bottom="0" percent="0" rank="0" text="" dxfId="3">
      <formula>AND($C26&lt;&gt;"",N($G26)&gt;0,SUMIF(Répartition!$A$4:$A$103,$C26,Répartition!$C$4:$C$103)&lt;&gt;$G26)</formula>
    </cfRule>
  </conditionalFormatting>
  <conditionalFormatting sqref="C26">
    <cfRule type="expression" priority="248" aboveAverage="0" equalAverage="0" bottom="0" percent="0" rank="0" text="" dxfId="4">
      <formula>$E26="Réalisé"</formula>
    </cfRule>
  </conditionalFormatting>
  <conditionalFormatting sqref="J26:AA26">
    <cfRule type="expression" priority="249" aboveAverage="0" equalAverage="0" bottom="0" percent="0" rank="0" text="" dxfId="53">
      <formula>AND(J26&gt;0,$E26="Réalisé")</formula>
    </cfRule>
    <cfRule type="expression" priority="250" aboveAverage="0" equalAverage="0" bottom="0" percent="0" rank="0" text="" dxfId="54">
      <formula>J26&gt;0</formula>
    </cfRule>
    <cfRule type="expression" priority="251" aboveAverage="0" equalAverage="0" bottom="0" percent="0" rank="0" text="" dxfId="7">
      <formula>AND($A26&lt;&gt;"",AND(COUNTIFS($G$38:$G$57,$A26,$H$38:$H$57,J$3,$A$38:$A$57,"Jalon")&gt;0,COUNTIFS($G$38:$G$57,$A26,$H$38:$H$57,J$3,$A$38:$A$57,"Livrable")&gt;0))</formula>
    </cfRule>
    <cfRule type="expression" priority="252" aboveAverage="0" equalAverage="0" bottom="0" percent="0" rank="0" text="" dxfId="8">
      <formula>AND($A26&lt;&gt;"",COUNTIFS($G$38:$G$57,$A26,$H$38:$H$57,J$3,$A$38:$A$57,"Jalon")&gt;0)</formula>
    </cfRule>
    <cfRule type="expression" priority="253" aboveAverage="0" equalAverage="0" bottom="0" percent="0" rank="0" text="" dxfId="9">
      <formula>AND($A26&lt;&gt;"",COUNTIFS($G$38:$G$57,$A26,$H$38:$H$57,J$3,$A$38:$A$57,"Livrable")&gt;0)</formula>
    </cfRule>
    <cfRule type="expression" priority="254" aboveAverage="0" equalAverage="0" bottom="0" percent="0" rank="0" text="" dxfId="10">
      <formula>AND($A26&lt;&gt;"",COUNTIFS($G$38:$G$57,$A26,$H$38:$H$57,J$3,$A$38:$A$57,"Revue")&gt;0)</formula>
    </cfRule>
  </conditionalFormatting>
  <conditionalFormatting sqref="E27">
    <cfRule type="expression" priority="255" aboveAverage="0" equalAverage="0" bottom="0" percent="0" rank="0" text="" dxfId="0">
      <formula>$E27="Non commencé"</formula>
    </cfRule>
    <cfRule type="expression" priority="256" aboveAverage="0" equalAverage="0" bottom="0" percent="0" rank="0" text="" dxfId="1">
      <formula>$E27="En cours"</formula>
    </cfRule>
    <cfRule type="expression" priority="257" aboveAverage="0" equalAverage="0" bottom="0" percent="0" rank="0" text="" dxfId="2">
      <formula>$E27="Réalisé"</formula>
    </cfRule>
  </conditionalFormatting>
  <conditionalFormatting sqref="F27">
    <cfRule type="expression" priority="258" aboveAverage="0" equalAverage="0" bottom="0" percent="0" rank="0" text="" dxfId="3">
      <formula>AND($C27&lt;&gt;"",N($G27)&gt;0,SUMIF(Répartition!$A$4:$A$103,$C27,Répartition!$C$4:$C$103)&lt;&gt;$G27)</formula>
    </cfRule>
  </conditionalFormatting>
  <conditionalFormatting sqref="C27">
    <cfRule type="expression" priority="259" aboveAverage="0" equalAverage="0" bottom="0" percent="0" rank="0" text="" dxfId="4">
      <formula>$E27="Réalisé"</formula>
    </cfRule>
  </conditionalFormatting>
  <conditionalFormatting sqref="J27:AA27">
    <cfRule type="expression" priority="260" aboveAverage="0" equalAverage="0" bottom="0" percent="0" rank="0" text="" dxfId="55">
      <formula>AND(J27&gt;0,$E27="Réalisé")</formula>
    </cfRule>
    <cfRule type="expression" priority="261" aboveAverage="0" equalAverage="0" bottom="0" percent="0" rank="0" text="" dxfId="56">
      <formula>J27&gt;0</formula>
    </cfRule>
    <cfRule type="expression" priority="262" aboveAverage="0" equalAverage="0" bottom="0" percent="0" rank="0" text="" dxfId="7">
      <formula>AND($A27&lt;&gt;"",AND(COUNTIFS($G$38:$G$57,$A27,$H$38:$H$57,J$3,$A$38:$A$57,"Jalon")&gt;0,COUNTIFS($G$38:$G$57,$A27,$H$38:$H$57,J$3,$A$38:$A$57,"Livrable")&gt;0))</formula>
    </cfRule>
    <cfRule type="expression" priority="263" aboveAverage="0" equalAverage="0" bottom="0" percent="0" rank="0" text="" dxfId="8">
      <formula>AND($A27&lt;&gt;"",COUNTIFS($G$38:$G$57,$A27,$H$38:$H$57,J$3,$A$38:$A$57,"Jalon")&gt;0)</formula>
    </cfRule>
    <cfRule type="expression" priority="264" aboveAverage="0" equalAverage="0" bottom="0" percent="0" rank="0" text="" dxfId="9">
      <formula>AND($A27&lt;&gt;"",COUNTIFS($G$38:$G$57,$A27,$H$38:$H$57,J$3,$A$38:$A$57,"Livrable")&gt;0)</formula>
    </cfRule>
    <cfRule type="expression" priority="265" aboveAverage="0" equalAverage="0" bottom="0" percent="0" rank="0" text="" dxfId="10">
      <formula>AND($A27&lt;&gt;"",COUNTIFS($G$38:$G$57,$A27,$H$38:$H$57,J$3,$A$38:$A$57,"Revue")&gt;0)</formula>
    </cfRule>
  </conditionalFormatting>
  <conditionalFormatting sqref="E28">
    <cfRule type="expression" priority="266" aboveAverage="0" equalAverage="0" bottom="0" percent="0" rank="0" text="" dxfId="0">
      <formula>$E28="Non commencé"</formula>
    </cfRule>
    <cfRule type="expression" priority="267" aboveAverage="0" equalAverage="0" bottom="0" percent="0" rank="0" text="" dxfId="1">
      <formula>$E28="En cours"</formula>
    </cfRule>
    <cfRule type="expression" priority="268" aboveAverage="0" equalAverage="0" bottom="0" percent="0" rank="0" text="" dxfId="2">
      <formula>$E28="Réalisé"</formula>
    </cfRule>
  </conditionalFormatting>
  <conditionalFormatting sqref="F28">
    <cfRule type="expression" priority="269" aboveAverage="0" equalAverage="0" bottom="0" percent="0" rank="0" text="" dxfId="3">
      <formula>AND($C28&lt;&gt;"",N($G28)&gt;0,SUMIF(Répartition!$A$4:$A$103,$C28,Répartition!$C$4:$C$103)&lt;&gt;$G28)</formula>
    </cfRule>
  </conditionalFormatting>
  <conditionalFormatting sqref="C28">
    <cfRule type="expression" priority="270" aboveAverage="0" equalAverage="0" bottom="0" percent="0" rank="0" text="" dxfId="4">
      <formula>$E28="Réalisé"</formula>
    </cfRule>
  </conditionalFormatting>
  <conditionalFormatting sqref="J28:AA28">
    <cfRule type="expression" priority="271" aboveAverage="0" equalAverage="0" bottom="0" percent="0" rank="0" text="" dxfId="57">
      <formula>AND(J28&gt;0,$E28="Réalisé")</formula>
    </cfRule>
    <cfRule type="expression" priority="272" aboveAverage="0" equalAverage="0" bottom="0" percent="0" rank="0" text="" dxfId="58">
      <formula>J28&gt;0</formula>
    </cfRule>
    <cfRule type="expression" priority="273" aboveAverage="0" equalAverage="0" bottom="0" percent="0" rank="0" text="" dxfId="7">
      <formula>AND($A28&lt;&gt;"",AND(COUNTIFS($G$38:$G$57,$A28,$H$38:$H$57,J$3,$A$38:$A$57,"Jalon")&gt;0,COUNTIFS($G$38:$G$57,$A28,$H$38:$H$57,J$3,$A$38:$A$57,"Livrable")&gt;0))</formula>
    </cfRule>
    <cfRule type="expression" priority="274" aboveAverage="0" equalAverage="0" bottom="0" percent="0" rank="0" text="" dxfId="8">
      <formula>AND($A28&lt;&gt;"",COUNTIFS($G$38:$G$57,$A28,$H$38:$H$57,J$3,$A$38:$A$57,"Jalon")&gt;0)</formula>
    </cfRule>
    <cfRule type="expression" priority="275" aboveAverage="0" equalAverage="0" bottom="0" percent="0" rank="0" text="" dxfId="9">
      <formula>AND($A28&lt;&gt;"",COUNTIFS($G$38:$G$57,$A28,$H$38:$H$57,J$3,$A$38:$A$57,"Livrable")&gt;0)</formula>
    </cfRule>
    <cfRule type="expression" priority="276" aboveAverage="0" equalAverage="0" bottom="0" percent="0" rank="0" text="" dxfId="10">
      <formula>AND($A28&lt;&gt;"",COUNTIFS($G$38:$G$57,$A28,$H$38:$H$57,J$3,$A$38:$A$57,"Revue")&gt;0)</formula>
    </cfRule>
  </conditionalFormatting>
  <conditionalFormatting sqref="E29">
    <cfRule type="expression" priority="277" aboveAverage="0" equalAverage="0" bottom="0" percent="0" rank="0" text="" dxfId="0">
      <formula>$E29="Non commencé"</formula>
    </cfRule>
    <cfRule type="expression" priority="278" aboveAverage="0" equalAverage="0" bottom="0" percent="0" rank="0" text="" dxfId="1">
      <formula>$E29="En cours"</formula>
    </cfRule>
    <cfRule type="expression" priority="279" aboveAverage="0" equalAverage="0" bottom="0" percent="0" rank="0" text="" dxfId="2">
      <formula>$E29="Réalisé"</formula>
    </cfRule>
  </conditionalFormatting>
  <conditionalFormatting sqref="F29">
    <cfRule type="expression" priority="280" aboveAverage="0" equalAverage="0" bottom="0" percent="0" rank="0" text="" dxfId="3">
      <formula>AND($C29&lt;&gt;"",N($G29)&gt;0,SUMIF(Répartition!$A$4:$A$103,$C29,Répartition!$C$4:$C$103)&lt;&gt;$G29)</formula>
    </cfRule>
  </conditionalFormatting>
  <conditionalFormatting sqref="C29">
    <cfRule type="expression" priority="281" aboveAverage="0" equalAverage="0" bottom="0" percent="0" rank="0" text="" dxfId="4">
      <formula>$E29="Réalisé"</formula>
    </cfRule>
  </conditionalFormatting>
  <conditionalFormatting sqref="J29:AA29">
    <cfRule type="expression" priority="282" aboveAverage="0" equalAverage="0" bottom="0" percent="0" rank="0" text="" dxfId="59">
      <formula>AND(J29&gt;0,$E29="Réalisé")</formula>
    </cfRule>
    <cfRule type="expression" priority="283" aboveAverage="0" equalAverage="0" bottom="0" percent="0" rank="0" text="" dxfId="60">
      <formula>J29&gt;0</formula>
    </cfRule>
    <cfRule type="expression" priority="284" aboveAverage="0" equalAverage="0" bottom="0" percent="0" rank="0" text="" dxfId="7">
      <formula>AND($A29&lt;&gt;"",AND(COUNTIFS($G$38:$G$57,$A29,$H$38:$H$57,J$3,$A$38:$A$57,"Jalon")&gt;0,COUNTIFS($G$38:$G$57,$A29,$H$38:$H$57,J$3,$A$38:$A$57,"Livrable")&gt;0))</formula>
    </cfRule>
    <cfRule type="expression" priority="285" aboveAverage="0" equalAverage="0" bottom="0" percent="0" rank="0" text="" dxfId="8">
      <formula>AND($A29&lt;&gt;"",COUNTIFS($G$38:$G$57,$A29,$H$38:$H$57,J$3,$A$38:$A$57,"Jalon")&gt;0)</formula>
    </cfRule>
    <cfRule type="expression" priority="286" aboveAverage="0" equalAverage="0" bottom="0" percent="0" rank="0" text="" dxfId="9">
      <formula>AND($A29&lt;&gt;"",COUNTIFS($G$38:$G$57,$A29,$H$38:$H$57,J$3,$A$38:$A$57,"Livrable")&gt;0)</formula>
    </cfRule>
    <cfRule type="expression" priority="287" aboveAverage="0" equalAverage="0" bottom="0" percent="0" rank="0" text="" dxfId="10">
      <formula>AND($A29&lt;&gt;"",COUNTIFS($G$38:$G$57,$A29,$H$38:$H$57,J$3,$A$38:$A$57,"Revue")&gt;0)</formula>
    </cfRule>
  </conditionalFormatting>
  <conditionalFormatting sqref="E30">
    <cfRule type="expression" priority="288" aboveAverage="0" equalAverage="0" bottom="0" percent="0" rank="0" text="" dxfId="0">
      <formula>$E30="Non commencé"</formula>
    </cfRule>
    <cfRule type="expression" priority="289" aboveAverage="0" equalAverage="0" bottom="0" percent="0" rank="0" text="" dxfId="1">
      <formula>$E30="En cours"</formula>
    </cfRule>
    <cfRule type="expression" priority="290" aboveAverage="0" equalAverage="0" bottom="0" percent="0" rank="0" text="" dxfId="2">
      <formula>$E30="Réalisé"</formula>
    </cfRule>
  </conditionalFormatting>
  <conditionalFormatting sqref="F30">
    <cfRule type="expression" priority="291" aboveAverage="0" equalAverage="0" bottom="0" percent="0" rank="0" text="" dxfId="3">
      <formula>AND($C30&lt;&gt;"",N($G30)&gt;0,SUMIF(Répartition!$A$4:$A$103,$C30,Répartition!$C$4:$C$103)&lt;&gt;$G30)</formula>
    </cfRule>
  </conditionalFormatting>
  <conditionalFormatting sqref="C30">
    <cfRule type="expression" priority="292" aboveAverage="0" equalAverage="0" bottom="0" percent="0" rank="0" text="" dxfId="4">
      <formula>$E30="Réalisé"</formula>
    </cfRule>
  </conditionalFormatting>
  <conditionalFormatting sqref="J30:AA30">
    <cfRule type="expression" priority="293" aboveAverage="0" equalAverage="0" bottom="0" percent="0" rank="0" text="" dxfId="61">
      <formula>AND(J30&gt;0,$E30="Réalisé")</formula>
    </cfRule>
    <cfRule type="expression" priority="294" aboveAverage="0" equalAverage="0" bottom="0" percent="0" rank="0" text="" dxfId="62">
      <formula>J30&gt;0</formula>
    </cfRule>
    <cfRule type="expression" priority="295" aboveAverage="0" equalAverage="0" bottom="0" percent="0" rank="0" text="" dxfId="7">
      <formula>AND($A30&lt;&gt;"",AND(COUNTIFS($G$38:$G$57,$A30,$H$38:$H$57,J$3,$A$38:$A$57,"Jalon")&gt;0,COUNTIFS($G$38:$G$57,$A30,$H$38:$H$57,J$3,$A$38:$A$57,"Livrable")&gt;0))</formula>
    </cfRule>
    <cfRule type="expression" priority="296" aboveAverage="0" equalAverage="0" bottom="0" percent="0" rank="0" text="" dxfId="8">
      <formula>AND($A30&lt;&gt;"",COUNTIFS($G$38:$G$57,$A30,$H$38:$H$57,J$3,$A$38:$A$57,"Jalon")&gt;0)</formula>
    </cfRule>
    <cfRule type="expression" priority="297" aboveAverage="0" equalAverage="0" bottom="0" percent="0" rank="0" text="" dxfId="9">
      <formula>AND($A30&lt;&gt;"",COUNTIFS($G$38:$G$57,$A30,$H$38:$H$57,J$3,$A$38:$A$57,"Livrable")&gt;0)</formula>
    </cfRule>
    <cfRule type="expression" priority="298" aboveAverage="0" equalAverage="0" bottom="0" percent="0" rank="0" text="" dxfId="10">
      <formula>AND($A30&lt;&gt;"",COUNTIFS($G$38:$G$57,$A30,$H$38:$H$57,J$3,$A$38:$A$57,"Revue")&gt;0)</formula>
    </cfRule>
  </conditionalFormatting>
  <conditionalFormatting sqref="E31">
    <cfRule type="expression" priority="299" aboveAverage="0" equalAverage="0" bottom="0" percent="0" rank="0" text="" dxfId="0">
      <formula>$E31="Non commencé"</formula>
    </cfRule>
    <cfRule type="expression" priority="300" aboveAverage="0" equalAverage="0" bottom="0" percent="0" rank="0" text="" dxfId="1">
      <formula>$E31="En cours"</formula>
    </cfRule>
    <cfRule type="expression" priority="301" aboveAverage="0" equalAverage="0" bottom="0" percent="0" rank="0" text="" dxfId="2">
      <formula>$E31="Réalisé"</formula>
    </cfRule>
  </conditionalFormatting>
  <conditionalFormatting sqref="F31">
    <cfRule type="expression" priority="302" aboveAverage="0" equalAverage="0" bottom="0" percent="0" rank="0" text="" dxfId="3">
      <formula>AND($C31&lt;&gt;"",N($G31)&gt;0,SUMIF(Répartition!$A$4:$A$103,$C31,Répartition!$C$4:$C$103)&lt;&gt;$G31)</formula>
    </cfRule>
  </conditionalFormatting>
  <conditionalFormatting sqref="C31">
    <cfRule type="expression" priority="303" aboveAverage="0" equalAverage="0" bottom="0" percent="0" rank="0" text="" dxfId="4">
      <formula>$E31="Réalisé"</formula>
    </cfRule>
  </conditionalFormatting>
  <conditionalFormatting sqref="J31:AA31">
    <cfRule type="expression" priority="304" aboveAverage="0" equalAverage="0" bottom="0" percent="0" rank="0" text="" dxfId="63">
      <formula>AND(J31&gt;0,$E31="Réalisé")</formula>
    </cfRule>
    <cfRule type="expression" priority="305" aboveAverage="0" equalAverage="0" bottom="0" percent="0" rank="0" text="" dxfId="64">
      <formula>J31&gt;0</formula>
    </cfRule>
    <cfRule type="expression" priority="306" aboveAverage="0" equalAverage="0" bottom="0" percent="0" rank="0" text="" dxfId="7">
      <formula>AND($A31&lt;&gt;"",AND(COUNTIFS($G$38:$G$57,$A31,$H$38:$H$57,J$3,$A$38:$A$57,"Jalon")&gt;0,COUNTIFS($G$38:$G$57,$A31,$H$38:$H$57,J$3,$A$38:$A$57,"Livrable")&gt;0))</formula>
    </cfRule>
    <cfRule type="expression" priority="307" aboveAverage="0" equalAverage="0" bottom="0" percent="0" rank="0" text="" dxfId="8">
      <formula>AND($A31&lt;&gt;"",COUNTIFS($G$38:$G$57,$A31,$H$38:$H$57,J$3,$A$38:$A$57,"Jalon")&gt;0)</formula>
    </cfRule>
    <cfRule type="expression" priority="308" aboveAverage="0" equalAverage="0" bottom="0" percent="0" rank="0" text="" dxfId="9">
      <formula>AND($A31&lt;&gt;"",COUNTIFS($G$38:$G$57,$A31,$H$38:$H$57,J$3,$A$38:$A$57,"Livrable")&gt;0)</formula>
    </cfRule>
    <cfRule type="expression" priority="309" aboveAverage="0" equalAverage="0" bottom="0" percent="0" rank="0" text="" dxfId="10">
      <formula>AND($A31&lt;&gt;"",COUNTIFS($G$38:$G$57,$A31,$H$38:$H$57,J$3,$A$38:$A$57,"Revue")&gt;0)</formula>
    </cfRule>
  </conditionalFormatting>
  <conditionalFormatting sqref="E32">
    <cfRule type="expression" priority="310" aboveAverage="0" equalAverage="0" bottom="0" percent="0" rank="0" text="" dxfId="0">
      <formula>$E32="Non commencé"</formula>
    </cfRule>
    <cfRule type="expression" priority="311" aboveAverage="0" equalAverage="0" bottom="0" percent="0" rank="0" text="" dxfId="1">
      <formula>$E32="En cours"</formula>
    </cfRule>
    <cfRule type="expression" priority="312" aboveAverage="0" equalAverage="0" bottom="0" percent="0" rank="0" text="" dxfId="2">
      <formula>$E32="Réalisé"</formula>
    </cfRule>
  </conditionalFormatting>
  <conditionalFormatting sqref="F32">
    <cfRule type="expression" priority="313" aboveAverage="0" equalAverage="0" bottom="0" percent="0" rank="0" text="" dxfId="3">
      <formula>AND($C32&lt;&gt;"",N($G32)&gt;0,SUMIF(Répartition!$A$4:$A$103,$C32,Répartition!$C$4:$C$103)&lt;&gt;$G32)</formula>
    </cfRule>
  </conditionalFormatting>
  <conditionalFormatting sqref="C32">
    <cfRule type="expression" priority="314" aboveAverage="0" equalAverage="0" bottom="0" percent="0" rank="0" text="" dxfId="4">
      <formula>$E32="Réalisé"</formula>
    </cfRule>
  </conditionalFormatting>
  <conditionalFormatting sqref="J32:AA32">
    <cfRule type="expression" priority="315" aboveAverage="0" equalAverage="0" bottom="0" percent="0" rank="0" text="" dxfId="65">
      <formula>AND(J32&gt;0,$E32="Réalisé")</formula>
    </cfRule>
    <cfRule type="expression" priority="316" aboveAverage="0" equalAverage="0" bottom="0" percent="0" rank="0" text="" dxfId="66">
      <formula>J32&gt;0</formula>
    </cfRule>
    <cfRule type="expression" priority="317" aboveAverage="0" equalAverage="0" bottom="0" percent="0" rank="0" text="" dxfId="7">
      <formula>AND($A32&lt;&gt;"",AND(COUNTIFS($G$38:$G$57,$A32,$H$38:$H$57,J$3,$A$38:$A$57,"Jalon")&gt;0,COUNTIFS($G$38:$G$57,$A32,$H$38:$H$57,J$3,$A$38:$A$57,"Livrable")&gt;0))</formula>
    </cfRule>
    <cfRule type="expression" priority="318" aboveAverage="0" equalAverage="0" bottom="0" percent="0" rank="0" text="" dxfId="8">
      <formula>AND($A32&lt;&gt;"",COUNTIFS($G$38:$G$57,$A32,$H$38:$H$57,J$3,$A$38:$A$57,"Jalon")&gt;0)</formula>
    </cfRule>
    <cfRule type="expression" priority="319" aboveAverage="0" equalAverage="0" bottom="0" percent="0" rank="0" text="" dxfId="9">
      <formula>AND($A32&lt;&gt;"",COUNTIFS($G$38:$G$57,$A32,$H$38:$H$57,J$3,$A$38:$A$57,"Livrable")&gt;0)</formula>
    </cfRule>
    <cfRule type="expression" priority="320" aboveAverage="0" equalAverage="0" bottom="0" percent="0" rank="0" text="" dxfId="10">
      <formula>AND($A32&lt;&gt;"",COUNTIFS($G$38:$G$57,$A32,$H$38:$H$57,J$3,$A$38:$A$57,"Revue")&gt;0)</formula>
    </cfRule>
  </conditionalFormatting>
  <conditionalFormatting sqref="E33">
    <cfRule type="expression" priority="321" aboveAverage="0" equalAverage="0" bottom="0" percent="0" rank="0" text="" dxfId="0">
      <formula>$E33="Non commencé"</formula>
    </cfRule>
    <cfRule type="expression" priority="322" aboveAverage="0" equalAverage="0" bottom="0" percent="0" rank="0" text="" dxfId="1">
      <formula>$E33="En cours"</formula>
    </cfRule>
    <cfRule type="expression" priority="323" aboveAverage="0" equalAverage="0" bottom="0" percent="0" rank="0" text="" dxfId="2">
      <formula>$E33="Réalisé"</formula>
    </cfRule>
  </conditionalFormatting>
  <conditionalFormatting sqref="F33">
    <cfRule type="expression" priority="324" aboveAverage="0" equalAverage="0" bottom="0" percent="0" rank="0" text="" dxfId="3">
      <formula>AND($C33&lt;&gt;"",N($G33)&gt;0,SUMIF(Répartition!$A$4:$A$103,$C33,Répartition!$C$4:$C$103)&lt;&gt;$G33)</formula>
    </cfRule>
  </conditionalFormatting>
  <conditionalFormatting sqref="C33">
    <cfRule type="expression" priority="325" aboveAverage="0" equalAverage="0" bottom="0" percent="0" rank="0" text="" dxfId="4">
      <formula>$E33="Réalisé"</formula>
    </cfRule>
  </conditionalFormatting>
  <conditionalFormatting sqref="J33:AA33">
    <cfRule type="expression" priority="326" aboveAverage="0" equalAverage="0" bottom="0" percent="0" rank="0" text="" dxfId="67">
      <formula>AND(J33&gt;0,$E33="Réalisé")</formula>
    </cfRule>
    <cfRule type="expression" priority="327" aboveAverage="0" equalAverage="0" bottom="0" percent="0" rank="0" text="" dxfId="68">
      <formula>J33&gt;0</formula>
    </cfRule>
    <cfRule type="expression" priority="328" aboveAverage="0" equalAverage="0" bottom="0" percent="0" rank="0" text="" dxfId="7">
      <formula>AND($A33&lt;&gt;"",AND(COUNTIFS($G$38:$G$57,$A33,$H$38:$H$57,J$3,$A$38:$A$57,"Jalon")&gt;0,COUNTIFS($G$38:$G$57,$A33,$H$38:$H$57,J$3,$A$38:$A$57,"Livrable")&gt;0))</formula>
    </cfRule>
    <cfRule type="expression" priority="329" aboveAverage="0" equalAverage="0" bottom="0" percent="0" rank="0" text="" dxfId="8">
      <formula>AND($A33&lt;&gt;"",COUNTIFS($G$38:$G$57,$A33,$H$38:$H$57,J$3,$A$38:$A$57,"Jalon")&gt;0)</formula>
    </cfRule>
    <cfRule type="expression" priority="330" aboveAverage="0" equalAverage="0" bottom="0" percent="0" rank="0" text="" dxfId="9">
      <formula>AND($A33&lt;&gt;"",COUNTIFS($G$38:$G$57,$A33,$H$38:$H$57,J$3,$A$38:$A$57,"Livrable")&gt;0)</formula>
    </cfRule>
    <cfRule type="expression" priority="331" aboveAverage="0" equalAverage="0" bottom="0" percent="0" rank="0" text="" dxfId="10">
      <formula>AND($A33&lt;&gt;"",COUNTIFS($G$38:$G$57,$A33,$H$38:$H$57,J$3,$A$38:$A$57,"Revue")&gt;0)</formula>
    </cfRule>
  </conditionalFormatting>
  <conditionalFormatting sqref="AE4:AE6">
    <cfRule type="dataBar" priority="332">
      <dataBar showValue="1" minLength="10" maxLength="90">
        <cfvo type="num" val="0"/>
        <cfvo type="max" val="0"/>
        <color rgb="FF9E7CC1"/>
      </dataBar>
      <extLst>
        <ext xmlns:x14="http://schemas.microsoft.com/office/spreadsheetml/2009/9/main" uri="{B025F937-C7B1-47D3-B67F-A62EFF666E3E}">
          <x14:id>{F1607B9B-89E7-4ECA-ACBF-6884DB0027E4}</x14:id>
        </ext>
      </extLst>
    </cfRule>
  </conditionalFormatting>
  <conditionalFormatting sqref="E38">
    <cfRule type="expression" priority="333" aboveAverage="0" equalAverage="0" bottom="0" percent="0" rank="0" text="" dxfId="0">
      <formula>$E38="Non commencé"</formula>
    </cfRule>
    <cfRule type="expression" priority="334" aboveAverage="0" equalAverage="0" bottom="0" percent="0" rank="0" text="" dxfId="1">
      <formula>$E38="En cours"</formula>
    </cfRule>
    <cfRule type="expression" priority="335" aboveAverage="0" equalAverage="0" bottom="0" percent="0" rank="0" text="" dxfId="2">
      <formula>$E38="Réalisé"</formula>
    </cfRule>
  </conditionalFormatting>
  <conditionalFormatting sqref="J38:AA38">
    <cfRule type="expression" priority="336" aboveAverage="0" equalAverage="0" bottom="0" percent="0" rank="0" text="" dxfId="69">
      <formula>AND(J38&lt;&gt;"",$E38="Réalisé")</formula>
    </cfRule>
    <cfRule type="expression" priority="337" aboveAverage="0" equalAverage="0" bottom="0" percent="0" rank="0" text="" dxfId="70">
      <formula>AND(J38&lt;&gt;"",$A38="Jalon")</formula>
    </cfRule>
    <cfRule type="expression" priority="338" aboveAverage="0" equalAverage="0" bottom="0" percent="0" rank="0" text="" dxfId="71">
      <formula>AND(J38&lt;&gt;"",$A38="Livrable")</formula>
    </cfRule>
    <cfRule type="expression" priority="339" aboveAverage="0" equalAverage="0" bottom="0" percent="0" rank="0" text="" dxfId="72">
      <formula>J38&lt;&gt;""</formula>
    </cfRule>
  </conditionalFormatting>
  <conditionalFormatting sqref="C38">
    <cfRule type="expression" priority="340" aboveAverage="0" equalAverage="0" bottom="0" percent="0" rank="0" text="" dxfId="4">
      <formula>$E38="Réalisé"</formula>
    </cfRule>
  </conditionalFormatting>
  <conditionalFormatting sqref="E39">
    <cfRule type="expression" priority="341" aboveAverage="0" equalAverage="0" bottom="0" percent="0" rank="0" text="" dxfId="0">
      <formula>$E39="Non commencé"</formula>
    </cfRule>
    <cfRule type="expression" priority="342" aboveAverage="0" equalAverage="0" bottom="0" percent="0" rank="0" text="" dxfId="1">
      <formula>$E39="En cours"</formula>
    </cfRule>
    <cfRule type="expression" priority="343" aboveAverage="0" equalAverage="0" bottom="0" percent="0" rank="0" text="" dxfId="2">
      <formula>$E39="Réalisé"</formula>
    </cfRule>
  </conditionalFormatting>
  <conditionalFormatting sqref="J39:AA39">
    <cfRule type="expression" priority="344" aboveAverage="0" equalAverage="0" bottom="0" percent="0" rank="0" text="" dxfId="69">
      <formula>AND(J39&lt;&gt;"",$E39="Réalisé")</formula>
    </cfRule>
    <cfRule type="expression" priority="345" aboveAverage="0" equalAverage="0" bottom="0" percent="0" rank="0" text="" dxfId="70">
      <formula>AND(J39&lt;&gt;"",$A39="Jalon")</formula>
    </cfRule>
    <cfRule type="expression" priority="346" aboveAverage="0" equalAverage="0" bottom="0" percent="0" rank="0" text="" dxfId="71">
      <formula>AND(J39&lt;&gt;"",$A39="Livrable")</formula>
    </cfRule>
    <cfRule type="expression" priority="347" aboveAverage="0" equalAverage="0" bottom="0" percent="0" rank="0" text="" dxfId="72">
      <formula>J39&lt;&gt;""</formula>
    </cfRule>
  </conditionalFormatting>
  <conditionalFormatting sqref="C39">
    <cfRule type="expression" priority="348" aboveAverage="0" equalAverage="0" bottom="0" percent="0" rank="0" text="" dxfId="4">
      <formula>$E39="Réalisé"</formula>
    </cfRule>
  </conditionalFormatting>
  <conditionalFormatting sqref="E40">
    <cfRule type="expression" priority="349" aboveAverage="0" equalAverage="0" bottom="0" percent="0" rank="0" text="" dxfId="0">
      <formula>$E40="Non commencé"</formula>
    </cfRule>
    <cfRule type="expression" priority="350" aboveAverage="0" equalAverage="0" bottom="0" percent="0" rank="0" text="" dxfId="1">
      <formula>$E40="En cours"</formula>
    </cfRule>
    <cfRule type="expression" priority="351" aboveAverage="0" equalAverage="0" bottom="0" percent="0" rank="0" text="" dxfId="2">
      <formula>$E40="Réalisé"</formula>
    </cfRule>
  </conditionalFormatting>
  <conditionalFormatting sqref="J40:AA40">
    <cfRule type="expression" priority="352" aboveAverage="0" equalAverage="0" bottom="0" percent="0" rank="0" text="" dxfId="69">
      <formula>AND(J40&lt;&gt;"",$E40="Réalisé")</formula>
    </cfRule>
    <cfRule type="expression" priority="353" aboveAverage="0" equalAverage="0" bottom="0" percent="0" rank="0" text="" dxfId="70">
      <formula>AND(J40&lt;&gt;"",$A40="Jalon")</formula>
    </cfRule>
    <cfRule type="expression" priority="354" aboveAverage="0" equalAverage="0" bottom="0" percent="0" rank="0" text="" dxfId="71">
      <formula>AND(J40&lt;&gt;"",$A40="Livrable")</formula>
    </cfRule>
    <cfRule type="expression" priority="355" aboveAverage="0" equalAverage="0" bottom="0" percent="0" rank="0" text="" dxfId="72">
      <formula>J40&lt;&gt;""</formula>
    </cfRule>
  </conditionalFormatting>
  <conditionalFormatting sqref="C40">
    <cfRule type="expression" priority="356" aboveAverage="0" equalAverage="0" bottom="0" percent="0" rank="0" text="" dxfId="4">
      <formula>$E40="Réalisé"</formula>
    </cfRule>
  </conditionalFormatting>
  <conditionalFormatting sqref="E41">
    <cfRule type="expression" priority="357" aboveAverage="0" equalAverage="0" bottom="0" percent="0" rank="0" text="" dxfId="0">
      <formula>$E41="Non commencé"</formula>
    </cfRule>
    <cfRule type="expression" priority="358" aboveAverage="0" equalAverage="0" bottom="0" percent="0" rank="0" text="" dxfId="1">
      <formula>$E41="En cours"</formula>
    </cfRule>
    <cfRule type="expression" priority="359" aboveAverage="0" equalAverage="0" bottom="0" percent="0" rank="0" text="" dxfId="2">
      <formula>$E41="Réalisé"</formula>
    </cfRule>
  </conditionalFormatting>
  <conditionalFormatting sqref="J41:AA41">
    <cfRule type="expression" priority="360" aboveAverage="0" equalAverage="0" bottom="0" percent="0" rank="0" text="" dxfId="69">
      <formula>AND(J41&lt;&gt;"",$E41="Réalisé")</formula>
    </cfRule>
    <cfRule type="expression" priority="361" aboveAverage="0" equalAverage="0" bottom="0" percent="0" rank="0" text="" dxfId="70">
      <formula>AND(J41&lt;&gt;"",$A41="Jalon")</formula>
    </cfRule>
    <cfRule type="expression" priority="362" aboveAverage="0" equalAverage="0" bottom="0" percent="0" rank="0" text="" dxfId="71">
      <formula>AND(J41&lt;&gt;"",$A41="Livrable")</formula>
    </cfRule>
    <cfRule type="expression" priority="363" aboveAverage="0" equalAverage="0" bottom="0" percent="0" rank="0" text="" dxfId="72">
      <formula>J41&lt;&gt;""</formula>
    </cfRule>
  </conditionalFormatting>
  <conditionalFormatting sqref="C41">
    <cfRule type="expression" priority="364" aboveAverage="0" equalAverage="0" bottom="0" percent="0" rank="0" text="" dxfId="4">
      <formula>$E41="Réalisé"</formula>
    </cfRule>
  </conditionalFormatting>
  <conditionalFormatting sqref="E42">
    <cfRule type="expression" priority="365" aboveAverage="0" equalAverage="0" bottom="0" percent="0" rank="0" text="" dxfId="0">
      <formula>$E42="Non commencé"</formula>
    </cfRule>
    <cfRule type="expression" priority="366" aboveAverage="0" equalAverage="0" bottom="0" percent="0" rank="0" text="" dxfId="1">
      <formula>$E42="En cours"</formula>
    </cfRule>
    <cfRule type="expression" priority="367" aboveAverage="0" equalAverage="0" bottom="0" percent="0" rank="0" text="" dxfId="2">
      <formula>$E42="Réalisé"</formula>
    </cfRule>
  </conditionalFormatting>
  <conditionalFormatting sqref="J42:AA42">
    <cfRule type="expression" priority="368" aboveAverage="0" equalAverage="0" bottom="0" percent="0" rank="0" text="" dxfId="69">
      <formula>AND(J42&lt;&gt;"",$E42="Réalisé")</formula>
    </cfRule>
    <cfRule type="expression" priority="369" aboveAverage="0" equalAverage="0" bottom="0" percent="0" rank="0" text="" dxfId="70">
      <formula>AND(J42&lt;&gt;"",$A42="Jalon")</formula>
    </cfRule>
    <cfRule type="expression" priority="370" aboveAverage="0" equalAverage="0" bottom="0" percent="0" rank="0" text="" dxfId="71">
      <formula>AND(J42&lt;&gt;"",$A42="Livrable")</formula>
    </cfRule>
    <cfRule type="expression" priority="371" aboveAverage="0" equalAverage="0" bottom="0" percent="0" rank="0" text="" dxfId="72">
      <formula>J42&lt;&gt;""</formula>
    </cfRule>
  </conditionalFormatting>
  <conditionalFormatting sqref="C42">
    <cfRule type="expression" priority="372" aboveAverage="0" equalAverage="0" bottom="0" percent="0" rank="0" text="" dxfId="4">
      <formula>$E42="Réalisé"</formula>
    </cfRule>
  </conditionalFormatting>
  <conditionalFormatting sqref="E43">
    <cfRule type="expression" priority="373" aboveAverage="0" equalAverage="0" bottom="0" percent="0" rank="0" text="" dxfId="0">
      <formula>$E43="Non commencé"</formula>
    </cfRule>
    <cfRule type="expression" priority="374" aboveAverage="0" equalAverage="0" bottom="0" percent="0" rank="0" text="" dxfId="1">
      <formula>$E43="En cours"</formula>
    </cfRule>
    <cfRule type="expression" priority="375" aboveAverage="0" equalAverage="0" bottom="0" percent="0" rank="0" text="" dxfId="2">
      <formula>$E43="Réalisé"</formula>
    </cfRule>
  </conditionalFormatting>
  <conditionalFormatting sqref="J43:AA43">
    <cfRule type="expression" priority="376" aboveAverage="0" equalAverage="0" bottom="0" percent="0" rank="0" text="" dxfId="69">
      <formula>AND(J43&lt;&gt;"",$E43="Réalisé")</formula>
    </cfRule>
    <cfRule type="expression" priority="377" aboveAverage="0" equalAverage="0" bottom="0" percent="0" rank="0" text="" dxfId="70">
      <formula>AND(J43&lt;&gt;"",$A43="Jalon")</formula>
    </cfRule>
    <cfRule type="expression" priority="378" aboveAverage="0" equalAverage="0" bottom="0" percent="0" rank="0" text="" dxfId="71">
      <formula>AND(J43&lt;&gt;"",$A43="Livrable")</formula>
    </cfRule>
    <cfRule type="expression" priority="379" aboveAverage="0" equalAverage="0" bottom="0" percent="0" rank="0" text="" dxfId="72">
      <formula>J43&lt;&gt;""</formula>
    </cfRule>
  </conditionalFormatting>
  <conditionalFormatting sqref="C43">
    <cfRule type="expression" priority="380" aboveAverage="0" equalAverage="0" bottom="0" percent="0" rank="0" text="" dxfId="4">
      <formula>$E43="Réalisé"</formula>
    </cfRule>
  </conditionalFormatting>
  <conditionalFormatting sqref="E44">
    <cfRule type="expression" priority="381" aboveAverage="0" equalAverage="0" bottom="0" percent="0" rank="0" text="" dxfId="0">
      <formula>$E44="Non commencé"</formula>
    </cfRule>
    <cfRule type="expression" priority="382" aboveAverage="0" equalAverage="0" bottom="0" percent="0" rank="0" text="" dxfId="1">
      <formula>$E44="En cours"</formula>
    </cfRule>
    <cfRule type="expression" priority="383" aboveAverage="0" equalAverage="0" bottom="0" percent="0" rank="0" text="" dxfId="2">
      <formula>$E44="Réalisé"</formula>
    </cfRule>
  </conditionalFormatting>
  <conditionalFormatting sqref="J44:AA44">
    <cfRule type="expression" priority="384" aboveAverage="0" equalAverage="0" bottom="0" percent="0" rank="0" text="" dxfId="69">
      <formula>AND(J44&lt;&gt;"",$E44="Réalisé")</formula>
    </cfRule>
    <cfRule type="expression" priority="385" aboveAverage="0" equalAverage="0" bottom="0" percent="0" rank="0" text="" dxfId="70">
      <formula>AND(J44&lt;&gt;"",$A44="Jalon")</formula>
    </cfRule>
    <cfRule type="expression" priority="386" aboveAverage="0" equalAverage="0" bottom="0" percent="0" rank="0" text="" dxfId="71">
      <formula>AND(J44&lt;&gt;"",$A44="Livrable")</formula>
    </cfRule>
    <cfRule type="expression" priority="387" aboveAverage="0" equalAverage="0" bottom="0" percent="0" rank="0" text="" dxfId="72">
      <formula>J44&lt;&gt;""</formula>
    </cfRule>
  </conditionalFormatting>
  <conditionalFormatting sqref="C44">
    <cfRule type="expression" priority="388" aboveAverage="0" equalAverage="0" bottom="0" percent="0" rank="0" text="" dxfId="4">
      <formula>$E44="Réalisé"</formula>
    </cfRule>
  </conditionalFormatting>
  <conditionalFormatting sqref="E45">
    <cfRule type="expression" priority="389" aboveAverage="0" equalAverage="0" bottom="0" percent="0" rank="0" text="" dxfId="0">
      <formula>$E45="Non commencé"</formula>
    </cfRule>
    <cfRule type="expression" priority="390" aboveAverage="0" equalAverage="0" bottom="0" percent="0" rank="0" text="" dxfId="1">
      <formula>$E45="En cours"</formula>
    </cfRule>
    <cfRule type="expression" priority="391" aboveAverage="0" equalAverage="0" bottom="0" percent="0" rank="0" text="" dxfId="2">
      <formula>$E45="Réalisé"</formula>
    </cfRule>
  </conditionalFormatting>
  <conditionalFormatting sqref="J45:AA45">
    <cfRule type="expression" priority="392" aboveAverage="0" equalAverage="0" bottom="0" percent="0" rank="0" text="" dxfId="69">
      <formula>AND(J45&lt;&gt;"",$E45="Réalisé")</formula>
    </cfRule>
    <cfRule type="expression" priority="393" aboveAverage="0" equalAverage="0" bottom="0" percent="0" rank="0" text="" dxfId="70">
      <formula>AND(J45&lt;&gt;"",$A45="Jalon")</formula>
    </cfRule>
    <cfRule type="expression" priority="394" aboveAverage="0" equalAverage="0" bottom="0" percent="0" rank="0" text="" dxfId="71">
      <formula>AND(J45&lt;&gt;"",$A45="Livrable")</formula>
    </cfRule>
    <cfRule type="expression" priority="395" aboveAverage="0" equalAverage="0" bottom="0" percent="0" rank="0" text="" dxfId="72">
      <formula>J45&lt;&gt;""</formula>
    </cfRule>
  </conditionalFormatting>
  <conditionalFormatting sqref="C45">
    <cfRule type="expression" priority="396" aboveAverage="0" equalAverage="0" bottom="0" percent="0" rank="0" text="" dxfId="4">
      <formula>$E45="Réalisé"</formula>
    </cfRule>
  </conditionalFormatting>
  <conditionalFormatting sqref="E46">
    <cfRule type="expression" priority="397" aboveAverage="0" equalAverage="0" bottom="0" percent="0" rank="0" text="" dxfId="0">
      <formula>$E46="Non commencé"</formula>
    </cfRule>
    <cfRule type="expression" priority="398" aboveAverage="0" equalAverage="0" bottom="0" percent="0" rank="0" text="" dxfId="1">
      <formula>$E46="En cours"</formula>
    </cfRule>
    <cfRule type="expression" priority="399" aboveAverage="0" equalAverage="0" bottom="0" percent="0" rank="0" text="" dxfId="2">
      <formula>$E46="Réalisé"</formula>
    </cfRule>
  </conditionalFormatting>
  <conditionalFormatting sqref="J46:AA46">
    <cfRule type="expression" priority="400" aboveAverage="0" equalAverage="0" bottom="0" percent="0" rank="0" text="" dxfId="69">
      <formula>AND(J46&lt;&gt;"",$E46="Réalisé")</formula>
    </cfRule>
    <cfRule type="expression" priority="401" aboveAverage="0" equalAverage="0" bottom="0" percent="0" rank="0" text="" dxfId="70">
      <formula>AND(J46&lt;&gt;"",$A46="Jalon")</formula>
    </cfRule>
    <cfRule type="expression" priority="402" aboveAverage="0" equalAverage="0" bottom="0" percent="0" rank="0" text="" dxfId="71">
      <formula>AND(J46&lt;&gt;"",$A46="Livrable")</formula>
    </cfRule>
    <cfRule type="expression" priority="403" aboveAverage="0" equalAverage="0" bottom="0" percent="0" rank="0" text="" dxfId="72">
      <formula>J46&lt;&gt;""</formula>
    </cfRule>
  </conditionalFormatting>
  <conditionalFormatting sqref="C46">
    <cfRule type="expression" priority="404" aboveAverage="0" equalAverage="0" bottom="0" percent="0" rank="0" text="" dxfId="4">
      <formula>$E46="Réalisé"</formula>
    </cfRule>
  </conditionalFormatting>
  <conditionalFormatting sqref="E47">
    <cfRule type="expression" priority="405" aboveAverage="0" equalAverage="0" bottom="0" percent="0" rank="0" text="" dxfId="0">
      <formula>$E47="Non commencé"</formula>
    </cfRule>
    <cfRule type="expression" priority="406" aboveAverage="0" equalAverage="0" bottom="0" percent="0" rank="0" text="" dxfId="1">
      <formula>$E47="En cours"</formula>
    </cfRule>
    <cfRule type="expression" priority="407" aboveAverage="0" equalAverage="0" bottom="0" percent="0" rank="0" text="" dxfId="2">
      <formula>$E47="Réalisé"</formula>
    </cfRule>
  </conditionalFormatting>
  <conditionalFormatting sqref="J47:AA47">
    <cfRule type="expression" priority="408" aboveAverage="0" equalAverage="0" bottom="0" percent="0" rank="0" text="" dxfId="69">
      <formula>AND(J47&lt;&gt;"",$E47="Réalisé")</formula>
    </cfRule>
    <cfRule type="expression" priority="409" aboveAverage="0" equalAverage="0" bottom="0" percent="0" rank="0" text="" dxfId="70">
      <formula>AND(J47&lt;&gt;"",$A47="Jalon")</formula>
    </cfRule>
    <cfRule type="expression" priority="410" aboveAverage="0" equalAverage="0" bottom="0" percent="0" rank="0" text="" dxfId="71">
      <formula>AND(J47&lt;&gt;"",$A47="Livrable")</formula>
    </cfRule>
    <cfRule type="expression" priority="411" aboveAverage="0" equalAverage="0" bottom="0" percent="0" rank="0" text="" dxfId="72">
      <formula>J47&lt;&gt;""</formula>
    </cfRule>
  </conditionalFormatting>
  <conditionalFormatting sqref="C47">
    <cfRule type="expression" priority="412" aboveAverage="0" equalAverage="0" bottom="0" percent="0" rank="0" text="" dxfId="4">
      <formula>$E47="Réalisé"</formula>
    </cfRule>
  </conditionalFormatting>
  <conditionalFormatting sqref="E48">
    <cfRule type="expression" priority="413" aboveAverage="0" equalAverage="0" bottom="0" percent="0" rank="0" text="" dxfId="0">
      <formula>$E48="Non commencé"</formula>
    </cfRule>
    <cfRule type="expression" priority="414" aboveAverage="0" equalAverage="0" bottom="0" percent="0" rank="0" text="" dxfId="1">
      <formula>$E48="En cours"</formula>
    </cfRule>
    <cfRule type="expression" priority="415" aboveAverage="0" equalAverage="0" bottom="0" percent="0" rank="0" text="" dxfId="2">
      <formula>$E48="Réalisé"</formula>
    </cfRule>
  </conditionalFormatting>
  <conditionalFormatting sqref="J48:AA48">
    <cfRule type="expression" priority="416" aboveAverage="0" equalAverage="0" bottom="0" percent="0" rank="0" text="" dxfId="69">
      <formula>AND(J48&lt;&gt;"",$E48="Réalisé")</formula>
    </cfRule>
    <cfRule type="expression" priority="417" aboveAverage="0" equalAverage="0" bottom="0" percent="0" rank="0" text="" dxfId="70">
      <formula>AND(J48&lt;&gt;"",$A48="Jalon")</formula>
    </cfRule>
    <cfRule type="expression" priority="418" aboveAverage="0" equalAverage="0" bottom="0" percent="0" rank="0" text="" dxfId="71">
      <formula>AND(J48&lt;&gt;"",$A48="Livrable")</formula>
    </cfRule>
    <cfRule type="expression" priority="419" aboveAverage="0" equalAverage="0" bottom="0" percent="0" rank="0" text="" dxfId="72">
      <formula>J48&lt;&gt;""</formula>
    </cfRule>
  </conditionalFormatting>
  <conditionalFormatting sqref="C48">
    <cfRule type="expression" priority="420" aboveAverage="0" equalAverage="0" bottom="0" percent="0" rank="0" text="" dxfId="4">
      <formula>$E48="Réalisé"</formula>
    </cfRule>
  </conditionalFormatting>
  <conditionalFormatting sqref="E49">
    <cfRule type="expression" priority="421" aboveAverage="0" equalAverage="0" bottom="0" percent="0" rank="0" text="" dxfId="0">
      <formula>$E49="Non commencé"</formula>
    </cfRule>
    <cfRule type="expression" priority="422" aboveAverage="0" equalAverage="0" bottom="0" percent="0" rank="0" text="" dxfId="1">
      <formula>$E49="En cours"</formula>
    </cfRule>
    <cfRule type="expression" priority="423" aboveAverage="0" equalAverage="0" bottom="0" percent="0" rank="0" text="" dxfId="2">
      <formula>$E49="Réalisé"</formula>
    </cfRule>
  </conditionalFormatting>
  <conditionalFormatting sqref="J49:AA49">
    <cfRule type="expression" priority="424" aboveAverage="0" equalAverage="0" bottom="0" percent="0" rank="0" text="" dxfId="69">
      <formula>AND(J49&lt;&gt;"",$E49="Réalisé")</formula>
    </cfRule>
    <cfRule type="expression" priority="425" aboveAverage="0" equalAverage="0" bottom="0" percent="0" rank="0" text="" dxfId="70">
      <formula>AND(J49&lt;&gt;"",$A49="Jalon")</formula>
    </cfRule>
    <cfRule type="expression" priority="426" aboveAverage="0" equalAverage="0" bottom="0" percent="0" rank="0" text="" dxfId="71">
      <formula>AND(J49&lt;&gt;"",$A49="Livrable")</formula>
    </cfRule>
    <cfRule type="expression" priority="427" aboveAverage="0" equalAverage="0" bottom="0" percent="0" rank="0" text="" dxfId="72">
      <formula>J49&lt;&gt;""</formula>
    </cfRule>
  </conditionalFormatting>
  <conditionalFormatting sqref="C49">
    <cfRule type="expression" priority="428" aboveAverage="0" equalAverage="0" bottom="0" percent="0" rank="0" text="" dxfId="4">
      <formula>$E49="Réalisé"</formula>
    </cfRule>
  </conditionalFormatting>
  <conditionalFormatting sqref="E50">
    <cfRule type="expression" priority="429" aboveAverage="0" equalAverage="0" bottom="0" percent="0" rank="0" text="" dxfId="0">
      <formula>$E50="Non commencé"</formula>
    </cfRule>
    <cfRule type="expression" priority="430" aboveAverage="0" equalAverage="0" bottom="0" percent="0" rank="0" text="" dxfId="1">
      <formula>$E50="En cours"</formula>
    </cfRule>
    <cfRule type="expression" priority="431" aboveAverage="0" equalAverage="0" bottom="0" percent="0" rank="0" text="" dxfId="2">
      <formula>$E50="Réalisé"</formula>
    </cfRule>
  </conditionalFormatting>
  <conditionalFormatting sqref="J50:AA50">
    <cfRule type="expression" priority="432" aboveAverage="0" equalAverage="0" bottom="0" percent="0" rank="0" text="" dxfId="69">
      <formula>AND(J50&lt;&gt;"",$E50="Réalisé")</formula>
    </cfRule>
    <cfRule type="expression" priority="433" aboveAverage="0" equalAverage="0" bottom="0" percent="0" rank="0" text="" dxfId="70">
      <formula>AND(J50&lt;&gt;"",$A50="Jalon")</formula>
    </cfRule>
    <cfRule type="expression" priority="434" aboveAverage="0" equalAverage="0" bottom="0" percent="0" rank="0" text="" dxfId="71">
      <formula>AND(J50&lt;&gt;"",$A50="Livrable")</formula>
    </cfRule>
    <cfRule type="expression" priority="435" aboveAverage="0" equalAverage="0" bottom="0" percent="0" rank="0" text="" dxfId="72">
      <formula>J50&lt;&gt;""</formula>
    </cfRule>
  </conditionalFormatting>
  <conditionalFormatting sqref="C50">
    <cfRule type="expression" priority="436" aboveAverage="0" equalAverage="0" bottom="0" percent="0" rank="0" text="" dxfId="4">
      <formula>$E50="Réalisé"</formula>
    </cfRule>
  </conditionalFormatting>
  <conditionalFormatting sqref="E51">
    <cfRule type="expression" priority="437" aboveAverage="0" equalAverage="0" bottom="0" percent="0" rank="0" text="" dxfId="0">
      <formula>$E51="Non commencé"</formula>
    </cfRule>
    <cfRule type="expression" priority="438" aboveAverage="0" equalAverage="0" bottom="0" percent="0" rank="0" text="" dxfId="1">
      <formula>$E51="En cours"</formula>
    </cfRule>
    <cfRule type="expression" priority="439" aboveAverage="0" equalAverage="0" bottom="0" percent="0" rank="0" text="" dxfId="2">
      <formula>$E51="Réalisé"</formula>
    </cfRule>
  </conditionalFormatting>
  <conditionalFormatting sqref="J51:AA51">
    <cfRule type="expression" priority="440" aboveAverage="0" equalAverage="0" bottom="0" percent="0" rank="0" text="" dxfId="69">
      <formula>AND(J51&lt;&gt;"",$E51="Réalisé")</formula>
    </cfRule>
    <cfRule type="expression" priority="441" aboveAverage="0" equalAverage="0" bottom="0" percent="0" rank="0" text="" dxfId="70">
      <formula>AND(J51&lt;&gt;"",$A51="Jalon")</formula>
    </cfRule>
    <cfRule type="expression" priority="442" aboveAverage="0" equalAverage="0" bottom="0" percent="0" rank="0" text="" dxfId="71">
      <formula>AND(J51&lt;&gt;"",$A51="Livrable")</formula>
    </cfRule>
    <cfRule type="expression" priority="443" aboveAverage="0" equalAverage="0" bottom="0" percent="0" rank="0" text="" dxfId="72">
      <formula>J51&lt;&gt;""</formula>
    </cfRule>
  </conditionalFormatting>
  <conditionalFormatting sqref="C51">
    <cfRule type="expression" priority="444" aboveAverage="0" equalAverage="0" bottom="0" percent="0" rank="0" text="" dxfId="4">
      <formula>$E51="Réalisé"</formula>
    </cfRule>
  </conditionalFormatting>
  <conditionalFormatting sqref="E52">
    <cfRule type="expression" priority="445" aboveAverage="0" equalAverage="0" bottom="0" percent="0" rank="0" text="" dxfId="0">
      <formula>$E52="Non commencé"</formula>
    </cfRule>
    <cfRule type="expression" priority="446" aboveAverage="0" equalAverage="0" bottom="0" percent="0" rank="0" text="" dxfId="1">
      <formula>$E52="En cours"</formula>
    </cfRule>
    <cfRule type="expression" priority="447" aboveAverage="0" equalAverage="0" bottom="0" percent="0" rank="0" text="" dxfId="2">
      <formula>$E52="Réalisé"</formula>
    </cfRule>
  </conditionalFormatting>
  <conditionalFormatting sqref="J52:AA52">
    <cfRule type="expression" priority="448" aboveAverage="0" equalAverage="0" bottom="0" percent="0" rank="0" text="" dxfId="69">
      <formula>AND(J52&lt;&gt;"",$E52="Réalisé")</formula>
    </cfRule>
    <cfRule type="expression" priority="449" aboveAverage="0" equalAverage="0" bottom="0" percent="0" rank="0" text="" dxfId="70">
      <formula>AND(J52&lt;&gt;"",$A52="Jalon")</formula>
    </cfRule>
    <cfRule type="expression" priority="450" aboveAverage="0" equalAverage="0" bottom="0" percent="0" rank="0" text="" dxfId="71">
      <formula>AND(J52&lt;&gt;"",$A52="Livrable")</formula>
    </cfRule>
    <cfRule type="expression" priority="451" aboveAverage="0" equalAverage="0" bottom="0" percent="0" rank="0" text="" dxfId="72">
      <formula>J52&lt;&gt;""</formula>
    </cfRule>
  </conditionalFormatting>
  <conditionalFormatting sqref="C52">
    <cfRule type="expression" priority="452" aboveAverage="0" equalAverage="0" bottom="0" percent="0" rank="0" text="" dxfId="4">
      <formula>$E52="Réalisé"</formula>
    </cfRule>
  </conditionalFormatting>
  <conditionalFormatting sqref="E53">
    <cfRule type="expression" priority="453" aboveAverage="0" equalAverage="0" bottom="0" percent="0" rank="0" text="" dxfId="0">
      <formula>$E53="Non commencé"</formula>
    </cfRule>
    <cfRule type="expression" priority="454" aboveAverage="0" equalAverage="0" bottom="0" percent="0" rank="0" text="" dxfId="1">
      <formula>$E53="En cours"</formula>
    </cfRule>
    <cfRule type="expression" priority="455" aboveAverage="0" equalAverage="0" bottom="0" percent="0" rank="0" text="" dxfId="2">
      <formula>$E53="Réalisé"</formula>
    </cfRule>
  </conditionalFormatting>
  <conditionalFormatting sqref="J53:AA53">
    <cfRule type="expression" priority="456" aboveAverage="0" equalAverage="0" bottom="0" percent="0" rank="0" text="" dxfId="69">
      <formula>AND(J53&lt;&gt;"",$E53="Réalisé")</formula>
    </cfRule>
    <cfRule type="expression" priority="457" aboveAverage="0" equalAverage="0" bottom="0" percent="0" rank="0" text="" dxfId="70">
      <formula>AND(J53&lt;&gt;"",$A53="Jalon")</formula>
    </cfRule>
    <cfRule type="expression" priority="458" aboveAverage="0" equalAverage="0" bottom="0" percent="0" rank="0" text="" dxfId="71">
      <formula>AND(J53&lt;&gt;"",$A53="Livrable")</formula>
    </cfRule>
    <cfRule type="expression" priority="459" aboveAverage="0" equalAverage="0" bottom="0" percent="0" rank="0" text="" dxfId="72">
      <formula>J53&lt;&gt;""</formula>
    </cfRule>
  </conditionalFormatting>
  <conditionalFormatting sqref="C53">
    <cfRule type="expression" priority="460" aboveAverage="0" equalAverage="0" bottom="0" percent="0" rank="0" text="" dxfId="4">
      <formula>$E53="Réalisé"</formula>
    </cfRule>
  </conditionalFormatting>
  <conditionalFormatting sqref="E54">
    <cfRule type="expression" priority="461" aboveAverage="0" equalAverage="0" bottom="0" percent="0" rank="0" text="" dxfId="0">
      <formula>$E54="Non commencé"</formula>
    </cfRule>
    <cfRule type="expression" priority="462" aboveAverage="0" equalAverage="0" bottom="0" percent="0" rank="0" text="" dxfId="1">
      <formula>$E54="En cours"</formula>
    </cfRule>
    <cfRule type="expression" priority="463" aboveAverage="0" equalAverage="0" bottom="0" percent="0" rank="0" text="" dxfId="2">
      <formula>$E54="Réalisé"</formula>
    </cfRule>
  </conditionalFormatting>
  <conditionalFormatting sqref="J54:AA54">
    <cfRule type="expression" priority="464" aboveAverage="0" equalAverage="0" bottom="0" percent="0" rank="0" text="" dxfId="69">
      <formula>AND(J54&lt;&gt;"",$E54="Réalisé")</formula>
    </cfRule>
    <cfRule type="expression" priority="465" aboveAverage="0" equalAverage="0" bottom="0" percent="0" rank="0" text="" dxfId="70">
      <formula>AND(J54&lt;&gt;"",$A54="Jalon")</formula>
    </cfRule>
    <cfRule type="expression" priority="466" aboveAverage="0" equalAverage="0" bottom="0" percent="0" rank="0" text="" dxfId="71">
      <formula>AND(J54&lt;&gt;"",$A54="Livrable")</formula>
    </cfRule>
    <cfRule type="expression" priority="467" aboveAverage="0" equalAverage="0" bottom="0" percent="0" rank="0" text="" dxfId="72">
      <formula>J54&lt;&gt;""</formula>
    </cfRule>
  </conditionalFormatting>
  <conditionalFormatting sqref="C54">
    <cfRule type="expression" priority="468" aboveAverage="0" equalAverage="0" bottom="0" percent="0" rank="0" text="" dxfId="4">
      <formula>$E54="Réalisé"</formula>
    </cfRule>
  </conditionalFormatting>
  <conditionalFormatting sqref="E55">
    <cfRule type="expression" priority="469" aboveAverage="0" equalAverage="0" bottom="0" percent="0" rank="0" text="" dxfId="0">
      <formula>$E55="Non commencé"</formula>
    </cfRule>
    <cfRule type="expression" priority="470" aboveAverage="0" equalAverage="0" bottom="0" percent="0" rank="0" text="" dxfId="1">
      <formula>$E55="En cours"</formula>
    </cfRule>
    <cfRule type="expression" priority="471" aboveAverage="0" equalAverage="0" bottom="0" percent="0" rank="0" text="" dxfId="2">
      <formula>$E55="Réalisé"</formula>
    </cfRule>
  </conditionalFormatting>
  <conditionalFormatting sqref="J55:AA55">
    <cfRule type="expression" priority="472" aboveAverage="0" equalAverage="0" bottom="0" percent="0" rank="0" text="" dxfId="69">
      <formula>AND(J55&lt;&gt;"",$E55="Réalisé")</formula>
    </cfRule>
    <cfRule type="expression" priority="473" aboveAverage="0" equalAverage="0" bottom="0" percent="0" rank="0" text="" dxfId="70">
      <formula>AND(J55&lt;&gt;"",$A55="Jalon")</formula>
    </cfRule>
    <cfRule type="expression" priority="474" aboveAverage="0" equalAverage="0" bottom="0" percent="0" rank="0" text="" dxfId="71">
      <formula>AND(J55&lt;&gt;"",$A55="Livrable")</formula>
    </cfRule>
    <cfRule type="expression" priority="475" aboveAverage="0" equalAverage="0" bottom="0" percent="0" rank="0" text="" dxfId="72">
      <formula>J55&lt;&gt;""</formula>
    </cfRule>
  </conditionalFormatting>
  <conditionalFormatting sqref="C55">
    <cfRule type="expression" priority="476" aboveAverage="0" equalAverage="0" bottom="0" percent="0" rank="0" text="" dxfId="4">
      <formula>$E55="Réalisé"</formula>
    </cfRule>
  </conditionalFormatting>
  <conditionalFormatting sqref="E56">
    <cfRule type="expression" priority="477" aboveAverage="0" equalAverage="0" bottom="0" percent="0" rank="0" text="" dxfId="0">
      <formula>$E56="Non commencé"</formula>
    </cfRule>
    <cfRule type="expression" priority="478" aboveAverage="0" equalAverage="0" bottom="0" percent="0" rank="0" text="" dxfId="1">
      <formula>$E56="En cours"</formula>
    </cfRule>
    <cfRule type="expression" priority="479" aboveAverage="0" equalAverage="0" bottom="0" percent="0" rank="0" text="" dxfId="2">
      <formula>$E56="Réalisé"</formula>
    </cfRule>
  </conditionalFormatting>
  <conditionalFormatting sqref="J56:AA56">
    <cfRule type="expression" priority="480" aboveAverage="0" equalAverage="0" bottom="0" percent="0" rank="0" text="" dxfId="69">
      <formula>AND(J56&lt;&gt;"",$E56="Réalisé")</formula>
    </cfRule>
    <cfRule type="expression" priority="481" aboveAverage="0" equalAverage="0" bottom="0" percent="0" rank="0" text="" dxfId="70">
      <formula>AND(J56&lt;&gt;"",$A56="Jalon")</formula>
    </cfRule>
    <cfRule type="expression" priority="482" aboveAverage="0" equalAverage="0" bottom="0" percent="0" rank="0" text="" dxfId="71">
      <formula>AND(J56&lt;&gt;"",$A56="Livrable")</formula>
    </cfRule>
    <cfRule type="expression" priority="483" aboveAverage="0" equalAverage="0" bottom="0" percent="0" rank="0" text="" dxfId="72">
      <formula>J56&lt;&gt;""</formula>
    </cfRule>
  </conditionalFormatting>
  <conditionalFormatting sqref="C56">
    <cfRule type="expression" priority="484" aboveAverage="0" equalAverage="0" bottom="0" percent="0" rank="0" text="" dxfId="4">
      <formula>$E56="Réalisé"</formula>
    </cfRule>
  </conditionalFormatting>
  <conditionalFormatting sqref="E57">
    <cfRule type="expression" priority="485" aboveAverage="0" equalAverage="0" bottom="0" percent="0" rank="0" text="" dxfId="0">
      <formula>$E57="Non commencé"</formula>
    </cfRule>
    <cfRule type="expression" priority="486" aboveAverage="0" equalAverage="0" bottom="0" percent="0" rank="0" text="" dxfId="1">
      <formula>$E57="En cours"</formula>
    </cfRule>
    <cfRule type="expression" priority="487" aboveAverage="0" equalAverage="0" bottom="0" percent="0" rank="0" text="" dxfId="2">
      <formula>$E57="Réalisé"</formula>
    </cfRule>
  </conditionalFormatting>
  <conditionalFormatting sqref="J57:AA57">
    <cfRule type="expression" priority="488" aboveAverage="0" equalAverage="0" bottom="0" percent="0" rank="0" text="" dxfId="69">
      <formula>AND(J57&lt;&gt;"",$E57="Réalisé")</formula>
    </cfRule>
    <cfRule type="expression" priority="489" aboveAverage="0" equalAverage="0" bottom="0" percent="0" rank="0" text="" dxfId="70">
      <formula>AND(J57&lt;&gt;"",$A57="Jalon")</formula>
    </cfRule>
    <cfRule type="expression" priority="490" aboveAverage="0" equalAverage="0" bottom="0" percent="0" rank="0" text="" dxfId="71">
      <formula>AND(J57&lt;&gt;"",$A57="Livrable")</formula>
    </cfRule>
    <cfRule type="expression" priority="491" aboveAverage="0" equalAverage="0" bottom="0" percent="0" rank="0" text="" dxfId="72">
      <formula>J57&lt;&gt;""</formula>
    </cfRule>
  </conditionalFormatting>
  <conditionalFormatting sqref="C57">
    <cfRule type="expression" priority="492" aboveAverage="0" equalAverage="0" bottom="0" percent="0" rank="0" text="" dxfId="4">
      <formula>$E57="Réalisé"</formula>
    </cfRule>
  </conditionalFormatting>
  <dataValidations count="10">
    <dataValidation allowBlank="true" errorStyle="stop" operator="between" showDropDown="false" showErrorMessage="false" showInputMessage="false" sqref="B4:B33" type="list">
      <formula1>Projets!$A$4:$A$18</formula1>
      <formula2>0</formula2>
    </dataValidation>
    <dataValidation allowBlank="true" errorStyle="stop" operator="between" showDropDown="false" showErrorMessage="false" showInputMessage="false" sqref="B38:B57" type="list">
      <formula1>Projets!$A$4:$A$18</formula1>
      <formula2>0</formula2>
    </dataValidation>
    <dataValidation allowBlank="true" errorStyle="stop" operator="between" showDropDown="false" showErrorMessage="false" showInputMessage="false" sqref="D4:D33" type="list">
      <formula1>Équipe!$A$4:$A$23</formula1>
      <formula2>0</formula2>
    </dataValidation>
    <dataValidation allowBlank="true" errorStyle="stop" operator="between" showDropDown="false" showErrorMessage="false" showInputMessage="false" sqref="D38:D57" type="list">
      <formula1>Équipe!$A$4:$A$23</formula1>
      <formula2>0</formula2>
    </dataValidation>
    <dataValidation allowBlank="true" errorStyle="stop" operator="between" showDropDown="false" showErrorMessage="false" showInputMessage="false" sqref="E4:E33" type="list">
      <formula1>"Non commencé,En cours,Réalisé"</formula1>
      <formula2>0</formula2>
    </dataValidation>
    <dataValidation allowBlank="true" errorStyle="stop" operator="between" showDropDown="false" showErrorMessage="false" showInputMessage="false" sqref="E38:E57" type="list">
      <formula1>"Non commencé,En cours,Réalisé"</formula1>
      <formula2>0</formula2>
    </dataValidation>
    <dataValidation allowBlank="true" errorStyle="stop" operator="between" showDropDown="false" showErrorMessage="false" showInputMessage="false" sqref="A38:A57" type="list">
      <formula1>"Jalon,Livrable,Revue"</formula1>
      <formula2>0</formula2>
    </dataValidation>
    <dataValidation allowBlank="true" errorStyle="stop" operator="between" showDropDown="false" showErrorMessage="false" showInputMessage="false" sqref="F38:F57" type="list">
      <formula1>Financement!$A$4:$A$18</formula1>
      <formula2>0</formula2>
    </dataValidation>
    <dataValidation allowBlank="true" errorStyle="stop" operator="between" showDropDown="false" showErrorMessage="false" showInputMessage="false" sqref="G38:G57" type="list">
      <formula1>$A$4:$A$33</formula1>
      <formula2>0</formula2>
    </dataValidation>
    <dataValidation allowBlank="true" errorStyle="stop" operator="between" showDropDown="false" showErrorMessage="false" showInputMessage="false" sqref="H38:H57" type="list">
      <formula1>$J$3:$AA$3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607B9B-89E7-4ECA-ACBF-6884DB0027E4}">
            <x14:dataBar minLength="10" maxLength="90" axisPosition="none" gradient="true">
              <x14:cfvo type="num">
                <xm:f>0</xm:f>
              </x14:cfvo>
              <x14:cfvo type="max"/>
              <x14:negativeFillColor rgb="FF9E7CC1"/>
              <x14:axisColor rgb="FF000000"/>
            </x14:dataBar>
          </x14:cfRule>
          <xm:sqref>AE4:AE6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21" min="4" style="0" width="8"/>
  </cols>
  <sheetData>
    <row r="1" customFormat="false" ht="30" hidden="false" customHeight="true" outlineLevel="0" collapsed="false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3" customFormat="false" ht="24" hidden="false" customHeight="true" outlineLevel="0" collapsed="false">
      <c r="A3" s="59" t="s">
        <v>46</v>
      </c>
      <c r="B3" s="59" t="s">
        <v>47</v>
      </c>
      <c r="C3" s="59" t="s">
        <v>48</v>
      </c>
      <c r="D3" s="60" t="n">
        <v>46266</v>
      </c>
      <c r="E3" s="60" t="n">
        <v>46296</v>
      </c>
      <c r="F3" s="60" t="n">
        <v>46327</v>
      </c>
      <c r="G3" s="60" t="n">
        <v>46357</v>
      </c>
      <c r="H3" s="60" t="n">
        <v>46388</v>
      </c>
      <c r="I3" s="60" t="n">
        <v>46419</v>
      </c>
      <c r="J3" s="60" t="n">
        <v>46447</v>
      </c>
      <c r="K3" s="60" t="n">
        <v>46478</v>
      </c>
      <c r="L3" s="60" t="n">
        <v>46508</v>
      </c>
      <c r="M3" s="60" t="n">
        <v>46539</v>
      </c>
      <c r="N3" s="60" t="n">
        <v>46569</v>
      </c>
      <c r="O3" s="60" t="n">
        <v>46600</v>
      </c>
      <c r="P3" s="60" t="n">
        <v>46631</v>
      </c>
      <c r="Q3" s="60" t="n">
        <v>46661</v>
      </c>
      <c r="R3" s="60" t="n">
        <v>46692</v>
      </c>
      <c r="S3" s="60" t="n">
        <v>46722</v>
      </c>
      <c r="T3" s="60" t="n">
        <v>46753</v>
      </c>
      <c r="U3" s="60" t="n">
        <v>46784</v>
      </c>
    </row>
    <row r="4" customFormat="false" ht="15" hidden="false" customHeight="false" outlineLevel="0" collapsed="false">
      <c r="A4" s="61" t="s">
        <v>17</v>
      </c>
      <c r="B4" s="62" t="s">
        <v>49</v>
      </c>
      <c r="C4" s="63" t="n">
        <f aca="false">IF(A4="","",SUMIF(Gantt!$D$4:$D$33,A4,Gantt!$G$4:$G$33))</f>
        <v>640</v>
      </c>
      <c r="D4" s="63" t="n">
        <f aca="false">IF($A4="","",SUMIF(Gantt!$D$4:$D$33,$A4,Gantt!J$4:J$33))</f>
        <v>80</v>
      </c>
      <c r="E4" s="63" t="n">
        <f aca="false">IF($A4="","",SUMIF(Gantt!$D$4:$D$33,$A4,Gantt!K$4:K$33))</f>
        <v>240</v>
      </c>
      <c r="F4" s="63" t="n">
        <f aca="false">IF($A4="","",SUMIF(Gantt!$D$4:$D$33,$A4,Gantt!L$4:L$33))</f>
        <v>0</v>
      </c>
      <c r="G4" s="63" t="n">
        <f aca="false">IF($A4="","",SUMIF(Gantt!$D$4:$D$33,$A4,Gantt!M$4:M$33))</f>
        <v>0</v>
      </c>
      <c r="H4" s="63" t="n">
        <f aca="false">IF($A4="","",SUMIF(Gantt!$D$4:$D$33,$A4,Gantt!N$4:N$33))</f>
        <v>60</v>
      </c>
      <c r="I4" s="63" t="n">
        <f aca="false">IF($A4="","",SUMIF(Gantt!$D$4:$D$33,$A4,Gantt!O$4:O$33))</f>
        <v>260</v>
      </c>
      <c r="J4" s="63" t="n">
        <f aca="false">IF($A4="","",SUMIF(Gantt!$D$4:$D$33,$A4,Gantt!P$4:P$33))</f>
        <v>0</v>
      </c>
      <c r="K4" s="63" t="n">
        <f aca="false">IF($A4="","",SUMIF(Gantt!$D$4:$D$33,$A4,Gantt!Q$4:Q$33))</f>
        <v>0</v>
      </c>
      <c r="L4" s="63" t="n">
        <f aca="false">IF($A4="","",SUMIF(Gantt!$D$4:$D$33,$A4,Gantt!R$4:R$33))</f>
        <v>0</v>
      </c>
      <c r="M4" s="63" t="n">
        <f aca="false">IF($A4="","",SUMIF(Gantt!$D$4:$D$33,$A4,Gantt!S$4:S$33))</f>
        <v>0</v>
      </c>
      <c r="N4" s="63" t="n">
        <f aca="false">IF($A4="","",SUMIF(Gantt!$D$4:$D$33,$A4,Gantt!T$4:T$33))</f>
        <v>0</v>
      </c>
      <c r="O4" s="63" t="n">
        <f aca="false">IF($A4="","",SUMIF(Gantt!$D$4:$D$33,$A4,Gantt!U$4:U$33))</f>
        <v>0</v>
      </c>
      <c r="P4" s="63" t="n">
        <f aca="false">IF($A4="","",SUMIF(Gantt!$D$4:$D$33,$A4,Gantt!V$4:V$33))</f>
        <v>0</v>
      </c>
      <c r="Q4" s="63" t="n">
        <f aca="false">IF($A4="","",SUMIF(Gantt!$D$4:$D$33,$A4,Gantt!W$4:W$33))</f>
        <v>0</v>
      </c>
      <c r="R4" s="63" t="n">
        <f aca="false">IF($A4="","",SUMIF(Gantt!$D$4:$D$33,$A4,Gantt!X$4:X$33))</f>
        <v>0</v>
      </c>
      <c r="S4" s="63" t="n">
        <f aca="false">IF($A4="","",SUMIF(Gantt!$D$4:$D$33,$A4,Gantt!Y$4:Y$33))</f>
        <v>0</v>
      </c>
      <c r="T4" s="63" t="n">
        <f aca="false">IF($A4="","",SUMIF(Gantt!$D$4:$D$33,$A4,Gantt!Z$4:Z$33))</f>
        <v>0</v>
      </c>
      <c r="U4" s="63" t="n">
        <f aca="false">IF($A4="","",SUMIF(Gantt!$D$4:$D$33,$A4,Gantt!AA$4:AA$33))</f>
        <v>0</v>
      </c>
    </row>
    <row r="5" customFormat="false" ht="15" hidden="false" customHeight="false" outlineLevel="0" collapsed="false">
      <c r="A5" s="61" t="s">
        <v>25</v>
      </c>
      <c r="B5" s="62" t="s">
        <v>50</v>
      </c>
      <c r="C5" s="64" t="n">
        <f aca="false">IF(A5="","",SUMIF(Gantt!$D$4:$D$33,A5,Gantt!$G$4:$G$33))</f>
        <v>980</v>
      </c>
      <c r="D5" s="64" t="n">
        <f aca="false">IF($A5="","",SUMIF(Gantt!$D$4:$D$33,$A5,Gantt!J$4:J$33))</f>
        <v>0</v>
      </c>
      <c r="E5" s="64" t="n">
        <f aca="false">IF($A5="","",SUMIF(Gantt!$D$4:$D$33,$A5,Gantt!K$4:K$33))</f>
        <v>80</v>
      </c>
      <c r="F5" s="64" t="n">
        <f aca="false">IF($A5="","",SUMIF(Gantt!$D$4:$D$33,$A5,Gantt!L$4:L$33))</f>
        <v>320</v>
      </c>
      <c r="G5" s="64" t="n">
        <f aca="false">IF($A5="","",SUMIF(Gantt!$D$4:$D$33,$A5,Gantt!M$4:M$33))</f>
        <v>320</v>
      </c>
      <c r="H5" s="64" t="n">
        <f aca="false">IF($A5="","",SUMIF(Gantt!$D$4:$D$33,$A5,Gantt!N$4:N$33))</f>
        <v>260</v>
      </c>
      <c r="I5" s="64" t="n">
        <f aca="false">IF($A5="","",SUMIF(Gantt!$D$4:$D$33,$A5,Gantt!O$4:O$33))</f>
        <v>0</v>
      </c>
      <c r="J5" s="64" t="n">
        <f aca="false">IF($A5="","",SUMIF(Gantt!$D$4:$D$33,$A5,Gantt!P$4:P$33))</f>
        <v>0</v>
      </c>
      <c r="K5" s="64" t="n">
        <f aca="false">IF($A5="","",SUMIF(Gantt!$D$4:$D$33,$A5,Gantt!Q$4:Q$33))</f>
        <v>0</v>
      </c>
      <c r="L5" s="64" t="n">
        <f aca="false">IF($A5="","",SUMIF(Gantt!$D$4:$D$33,$A5,Gantt!R$4:R$33))</f>
        <v>0</v>
      </c>
      <c r="M5" s="64" t="n">
        <f aca="false">IF($A5="","",SUMIF(Gantt!$D$4:$D$33,$A5,Gantt!S$4:S$33))</f>
        <v>0</v>
      </c>
      <c r="N5" s="64" t="n">
        <f aca="false">IF($A5="","",SUMIF(Gantt!$D$4:$D$33,$A5,Gantt!T$4:T$33))</f>
        <v>0</v>
      </c>
      <c r="O5" s="64" t="n">
        <f aca="false">IF($A5="","",SUMIF(Gantt!$D$4:$D$33,$A5,Gantt!U$4:U$33))</f>
        <v>0</v>
      </c>
      <c r="P5" s="64" t="n">
        <f aca="false">IF($A5="","",SUMIF(Gantt!$D$4:$D$33,$A5,Gantt!V$4:V$33))</f>
        <v>0</v>
      </c>
      <c r="Q5" s="64" t="n">
        <f aca="false">IF($A5="","",SUMIF(Gantt!$D$4:$D$33,$A5,Gantt!W$4:W$33))</f>
        <v>0</v>
      </c>
      <c r="R5" s="64" t="n">
        <f aca="false">IF($A5="","",SUMIF(Gantt!$D$4:$D$33,$A5,Gantt!X$4:X$33))</f>
        <v>0</v>
      </c>
      <c r="S5" s="64" t="n">
        <f aca="false">IF($A5="","",SUMIF(Gantt!$D$4:$D$33,$A5,Gantt!Y$4:Y$33))</f>
        <v>0</v>
      </c>
      <c r="T5" s="64" t="n">
        <f aca="false">IF($A5="","",SUMIF(Gantt!$D$4:$D$33,$A5,Gantt!Z$4:Z$33))</f>
        <v>0</v>
      </c>
      <c r="U5" s="64" t="n">
        <f aca="false">IF($A5="","",SUMIF(Gantt!$D$4:$D$33,$A5,Gantt!AA$4:AA$33))</f>
        <v>0</v>
      </c>
    </row>
    <row r="6" customFormat="false" ht="15" hidden="false" customHeight="false" outlineLevel="0" collapsed="false">
      <c r="A6" s="61"/>
      <c r="B6" s="62"/>
      <c r="C6" s="63" t="str">
        <f aca="false">IF(A6="","",SUMIF(Gantt!$D$4:$D$33,A6,Gantt!$G$4:$G$33))</f>
        <v/>
      </c>
      <c r="D6" s="63" t="str">
        <f aca="false">IF($A6="","",SUMIF(Gantt!$D$4:$D$33,$A6,Gantt!J$4:J$33))</f>
        <v/>
      </c>
      <c r="E6" s="63" t="str">
        <f aca="false">IF($A6="","",SUMIF(Gantt!$D$4:$D$33,$A6,Gantt!K$4:K$33))</f>
        <v/>
      </c>
      <c r="F6" s="63" t="str">
        <f aca="false">IF($A6="","",SUMIF(Gantt!$D$4:$D$33,$A6,Gantt!L$4:L$33))</f>
        <v/>
      </c>
      <c r="G6" s="63" t="str">
        <f aca="false">IF($A6="","",SUMIF(Gantt!$D$4:$D$33,$A6,Gantt!M$4:M$33))</f>
        <v/>
      </c>
      <c r="H6" s="63" t="str">
        <f aca="false">IF($A6="","",SUMIF(Gantt!$D$4:$D$33,$A6,Gantt!N$4:N$33))</f>
        <v/>
      </c>
      <c r="I6" s="63" t="str">
        <f aca="false">IF($A6="","",SUMIF(Gantt!$D$4:$D$33,$A6,Gantt!O$4:O$33))</f>
        <v/>
      </c>
      <c r="J6" s="63" t="str">
        <f aca="false">IF($A6="","",SUMIF(Gantt!$D$4:$D$33,$A6,Gantt!P$4:P$33))</f>
        <v/>
      </c>
      <c r="K6" s="63" t="str">
        <f aca="false">IF($A6="","",SUMIF(Gantt!$D$4:$D$33,$A6,Gantt!Q$4:Q$33))</f>
        <v/>
      </c>
      <c r="L6" s="63" t="str">
        <f aca="false">IF($A6="","",SUMIF(Gantt!$D$4:$D$33,$A6,Gantt!R$4:R$33))</f>
        <v/>
      </c>
      <c r="M6" s="63" t="str">
        <f aca="false">IF($A6="","",SUMIF(Gantt!$D$4:$D$33,$A6,Gantt!S$4:S$33))</f>
        <v/>
      </c>
      <c r="N6" s="63" t="str">
        <f aca="false">IF($A6="","",SUMIF(Gantt!$D$4:$D$33,$A6,Gantt!T$4:T$33))</f>
        <v/>
      </c>
      <c r="O6" s="63" t="str">
        <f aca="false">IF($A6="","",SUMIF(Gantt!$D$4:$D$33,$A6,Gantt!U$4:U$33))</f>
        <v/>
      </c>
      <c r="P6" s="63" t="str">
        <f aca="false">IF($A6="","",SUMIF(Gantt!$D$4:$D$33,$A6,Gantt!V$4:V$33))</f>
        <v/>
      </c>
      <c r="Q6" s="63" t="str">
        <f aca="false">IF($A6="","",SUMIF(Gantt!$D$4:$D$33,$A6,Gantt!W$4:W$33))</f>
        <v/>
      </c>
      <c r="R6" s="63" t="str">
        <f aca="false">IF($A6="","",SUMIF(Gantt!$D$4:$D$33,$A6,Gantt!X$4:X$33))</f>
        <v/>
      </c>
      <c r="S6" s="63" t="str">
        <f aca="false">IF($A6="","",SUMIF(Gantt!$D$4:$D$33,$A6,Gantt!Y$4:Y$33))</f>
        <v/>
      </c>
      <c r="T6" s="63" t="str">
        <f aca="false">IF($A6="","",SUMIF(Gantt!$D$4:$D$33,$A6,Gantt!Z$4:Z$33))</f>
        <v/>
      </c>
      <c r="U6" s="63" t="str">
        <f aca="false">IF($A6="","",SUMIF(Gantt!$D$4:$D$33,$A6,Gantt!AA$4:AA$33))</f>
        <v/>
      </c>
    </row>
    <row r="7" customFormat="false" ht="15" hidden="false" customHeight="false" outlineLevel="0" collapsed="false">
      <c r="A7" s="61"/>
      <c r="B7" s="62"/>
      <c r="C7" s="64" t="str">
        <f aca="false">IF(A7="","",SUMIF(Gantt!$D$4:$D$33,A7,Gantt!$G$4:$G$33))</f>
        <v/>
      </c>
      <c r="D7" s="64" t="str">
        <f aca="false">IF($A7="","",SUMIF(Gantt!$D$4:$D$33,$A7,Gantt!J$4:J$33))</f>
        <v/>
      </c>
      <c r="E7" s="64" t="str">
        <f aca="false">IF($A7="","",SUMIF(Gantt!$D$4:$D$33,$A7,Gantt!K$4:K$33))</f>
        <v/>
      </c>
      <c r="F7" s="64" t="str">
        <f aca="false">IF($A7="","",SUMIF(Gantt!$D$4:$D$33,$A7,Gantt!L$4:L$33))</f>
        <v/>
      </c>
      <c r="G7" s="64" t="str">
        <f aca="false">IF($A7="","",SUMIF(Gantt!$D$4:$D$33,$A7,Gantt!M$4:M$33))</f>
        <v/>
      </c>
      <c r="H7" s="64" t="str">
        <f aca="false">IF($A7="","",SUMIF(Gantt!$D$4:$D$33,$A7,Gantt!N$4:N$33))</f>
        <v/>
      </c>
      <c r="I7" s="64" t="str">
        <f aca="false">IF($A7="","",SUMIF(Gantt!$D$4:$D$33,$A7,Gantt!O$4:O$33))</f>
        <v/>
      </c>
      <c r="J7" s="64" t="str">
        <f aca="false">IF($A7="","",SUMIF(Gantt!$D$4:$D$33,$A7,Gantt!P$4:P$33))</f>
        <v/>
      </c>
      <c r="K7" s="64" t="str">
        <f aca="false">IF($A7="","",SUMIF(Gantt!$D$4:$D$33,$A7,Gantt!Q$4:Q$33))</f>
        <v/>
      </c>
      <c r="L7" s="64" t="str">
        <f aca="false">IF($A7="","",SUMIF(Gantt!$D$4:$D$33,$A7,Gantt!R$4:R$33))</f>
        <v/>
      </c>
      <c r="M7" s="64" t="str">
        <f aca="false">IF($A7="","",SUMIF(Gantt!$D$4:$D$33,$A7,Gantt!S$4:S$33))</f>
        <v/>
      </c>
      <c r="N7" s="64" t="str">
        <f aca="false">IF($A7="","",SUMIF(Gantt!$D$4:$D$33,$A7,Gantt!T$4:T$33))</f>
        <v/>
      </c>
      <c r="O7" s="64" t="str">
        <f aca="false">IF($A7="","",SUMIF(Gantt!$D$4:$D$33,$A7,Gantt!U$4:U$33))</f>
        <v/>
      </c>
      <c r="P7" s="64" t="str">
        <f aca="false">IF($A7="","",SUMIF(Gantt!$D$4:$D$33,$A7,Gantt!V$4:V$33))</f>
        <v/>
      </c>
      <c r="Q7" s="64" t="str">
        <f aca="false">IF($A7="","",SUMIF(Gantt!$D$4:$D$33,$A7,Gantt!W$4:W$33))</f>
        <v/>
      </c>
      <c r="R7" s="64" t="str">
        <f aca="false">IF($A7="","",SUMIF(Gantt!$D$4:$D$33,$A7,Gantt!X$4:X$33))</f>
        <v/>
      </c>
      <c r="S7" s="64" t="str">
        <f aca="false">IF($A7="","",SUMIF(Gantt!$D$4:$D$33,$A7,Gantt!Y$4:Y$33))</f>
        <v/>
      </c>
      <c r="T7" s="64" t="str">
        <f aca="false">IF($A7="","",SUMIF(Gantt!$D$4:$D$33,$A7,Gantt!Z$4:Z$33))</f>
        <v/>
      </c>
      <c r="U7" s="64" t="str">
        <f aca="false">IF($A7="","",SUMIF(Gantt!$D$4:$D$33,$A7,Gantt!AA$4:AA$33))</f>
        <v/>
      </c>
    </row>
    <row r="8" customFormat="false" ht="15" hidden="false" customHeight="false" outlineLevel="0" collapsed="false">
      <c r="A8" s="61"/>
      <c r="B8" s="62"/>
      <c r="C8" s="63" t="str">
        <f aca="false">IF(A8="","",SUMIF(Gantt!$D$4:$D$33,A8,Gantt!$G$4:$G$33))</f>
        <v/>
      </c>
      <c r="D8" s="63" t="str">
        <f aca="false">IF($A8="","",SUMIF(Gantt!$D$4:$D$33,$A8,Gantt!J$4:J$33))</f>
        <v/>
      </c>
      <c r="E8" s="63" t="str">
        <f aca="false">IF($A8="","",SUMIF(Gantt!$D$4:$D$33,$A8,Gantt!K$4:K$33))</f>
        <v/>
      </c>
      <c r="F8" s="63" t="str">
        <f aca="false">IF($A8="","",SUMIF(Gantt!$D$4:$D$33,$A8,Gantt!L$4:L$33))</f>
        <v/>
      </c>
      <c r="G8" s="63" t="str">
        <f aca="false">IF($A8="","",SUMIF(Gantt!$D$4:$D$33,$A8,Gantt!M$4:M$33))</f>
        <v/>
      </c>
      <c r="H8" s="63" t="str">
        <f aca="false">IF($A8="","",SUMIF(Gantt!$D$4:$D$33,$A8,Gantt!N$4:N$33))</f>
        <v/>
      </c>
      <c r="I8" s="63" t="str">
        <f aca="false">IF($A8="","",SUMIF(Gantt!$D$4:$D$33,$A8,Gantt!O$4:O$33))</f>
        <v/>
      </c>
      <c r="J8" s="63" t="str">
        <f aca="false">IF($A8="","",SUMIF(Gantt!$D$4:$D$33,$A8,Gantt!P$4:P$33))</f>
        <v/>
      </c>
      <c r="K8" s="63" t="str">
        <f aca="false">IF($A8="","",SUMIF(Gantt!$D$4:$D$33,$A8,Gantt!Q$4:Q$33))</f>
        <v/>
      </c>
      <c r="L8" s="63" t="str">
        <f aca="false">IF($A8="","",SUMIF(Gantt!$D$4:$D$33,$A8,Gantt!R$4:R$33))</f>
        <v/>
      </c>
      <c r="M8" s="63" t="str">
        <f aca="false">IF($A8="","",SUMIF(Gantt!$D$4:$D$33,$A8,Gantt!S$4:S$33))</f>
        <v/>
      </c>
      <c r="N8" s="63" t="str">
        <f aca="false">IF($A8="","",SUMIF(Gantt!$D$4:$D$33,$A8,Gantt!T$4:T$33))</f>
        <v/>
      </c>
      <c r="O8" s="63" t="str">
        <f aca="false">IF($A8="","",SUMIF(Gantt!$D$4:$D$33,$A8,Gantt!U$4:U$33))</f>
        <v/>
      </c>
      <c r="P8" s="63" t="str">
        <f aca="false">IF($A8="","",SUMIF(Gantt!$D$4:$D$33,$A8,Gantt!V$4:V$33))</f>
        <v/>
      </c>
      <c r="Q8" s="63" t="str">
        <f aca="false">IF($A8="","",SUMIF(Gantt!$D$4:$D$33,$A8,Gantt!W$4:W$33))</f>
        <v/>
      </c>
      <c r="R8" s="63" t="str">
        <f aca="false">IF($A8="","",SUMIF(Gantt!$D$4:$D$33,$A8,Gantt!X$4:X$33))</f>
        <v/>
      </c>
      <c r="S8" s="63" t="str">
        <f aca="false">IF($A8="","",SUMIF(Gantt!$D$4:$D$33,$A8,Gantt!Y$4:Y$33))</f>
        <v/>
      </c>
      <c r="T8" s="63" t="str">
        <f aca="false">IF($A8="","",SUMIF(Gantt!$D$4:$D$33,$A8,Gantt!Z$4:Z$33))</f>
        <v/>
      </c>
      <c r="U8" s="63" t="str">
        <f aca="false">IF($A8="","",SUMIF(Gantt!$D$4:$D$33,$A8,Gantt!AA$4:AA$33))</f>
        <v/>
      </c>
    </row>
    <row r="9" customFormat="false" ht="15" hidden="false" customHeight="false" outlineLevel="0" collapsed="false">
      <c r="A9" s="61"/>
      <c r="B9" s="62"/>
      <c r="C9" s="64" t="str">
        <f aca="false">IF(A9="","",SUMIF(Gantt!$D$4:$D$33,A9,Gantt!$G$4:$G$33))</f>
        <v/>
      </c>
      <c r="D9" s="64" t="str">
        <f aca="false">IF($A9="","",SUMIF(Gantt!$D$4:$D$33,$A9,Gantt!J$4:J$33))</f>
        <v/>
      </c>
      <c r="E9" s="64" t="str">
        <f aca="false">IF($A9="","",SUMIF(Gantt!$D$4:$D$33,$A9,Gantt!K$4:K$33))</f>
        <v/>
      </c>
      <c r="F9" s="64" t="str">
        <f aca="false">IF($A9="","",SUMIF(Gantt!$D$4:$D$33,$A9,Gantt!L$4:L$33))</f>
        <v/>
      </c>
      <c r="G9" s="64" t="str">
        <f aca="false">IF($A9="","",SUMIF(Gantt!$D$4:$D$33,$A9,Gantt!M$4:M$33))</f>
        <v/>
      </c>
      <c r="H9" s="64" t="str">
        <f aca="false">IF($A9="","",SUMIF(Gantt!$D$4:$D$33,$A9,Gantt!N$4:N$33))</f>
        <v/>
      </c>
      <c r="I9" s="64" t="str">
        <f aca="false">IF($A9="","",SUMIF(Gantt!$D$4:$D$33,$A9,Gantt!O$4:O$33))</f>
        <v/>
      </c>
      <c r="J9" s="64" t="str">
        <f aca="false">IF($A9="","",SUMIF(Gantt!$D$4:$D$33,$A9,Gantt!P$4:P$33))</f>
        <v/>
      </c>
      <c r="K9" s="64" t="str">
        <f aca="false">IF($A9="","",SUMIF(Gantt!$D$4:$D$33,$A9,Gantt!Q$4:Q$33))</f>
        <v/>
      </c>
      <c r="L9" s="64" t="str">
        <f aca="false">IF($A9="","",SUMIF(Gantt!$D$4:$D$33,$A9,Gantt!R$4:R$33))</f>
        <v/>
      </c>
      <c r="M9" s="64" t="str">
        <f aca="false">IF($A9="","",SUMIF(Gantt!$D$4:$D$33,$A9,Gantt!S$4:S$33))</f>
        <v/>
      </c>
      <c r="N9" s="64" t="str">
        <f aca="false">IF($A9="","",SUMIF(Gantt!$D$4:$D$33,$A9,Gantt!T$4:T$33))</f>
        <v/>
      </c>
      <c r="O9" s="64" t="str">
        <f aca="false">IF($A9="","",SUMIF(Gantt!$D$4:$D$33,$A9,Gantt!U$4:U$33))</f>
        <v/>
      </c>
      <c r="P9" s="64" t="str">
        <f aca="false">IF($A9="","",SUMIF(Gantt!$D$4:$D$33,$A9,Gantt!V$4:V$33))</f>
        <v/>
      </c>
      <c r="Q9" s="64" t="str">
        <f aca="false">IF($A9="","",SUMIF(Gantt!$D$4:$D$33,$A9,Gantt!W$4:W$33))</f>
        <v/>
      </c>
      <c r="R9" s="64" t="str">
        <f aca="false">IF($A9="","",SUMIF(Gantt!$D$4:$D$33,$A9,Gantt!X$4:X$33))</f>
        <v/>
      </c>
      <c r="S9" s="64" t="str">
        <f aca="false">IF($A9="","",SUMIF(Gantt!$D$4:$D$33,$A9,Gantt!Y$4:Y$33))</f>
        <v/>
      </c>
      <c r="T9" s="64" t="str">
        <f aca="false">IF($A9="","",SUMIF(Gantt!$D$4:$D$33,$A9,Gantt!Z$4:Z$33))</f>
        <v/>
      </c>
      <c r="U9" s="64" t="str">
        <f aca="false">IF($A9="","",SUMIF(Gantt!$D$4:$D$33,$A9,Gantt!AA$4:AA$33))</f>
        <v/>
      </c>
    </row>
    <row r="10" customFormat="false" ht="15" hidden="false" customHeight="false" outlineLevel="0" collapsed="false">
      <c r="A10" s="61"/>
      <c r="B10" s="62"/>
      <c r="C10" s="63" t="str">
        <f aca="false">IF(A10="","",SUMIF(Gantt!$D$4:$D$33,A10,Gantt!$G$4:$G$33))</f>
        <v/>
      </c>
      <c r="D10" s="63" t="str">
        <f aca="false">IF($A10="","",SUMIF(Gantt!$D$4:$D$33,$A10,Gantt!J$4:J$33))</f>
        <v/>
      </c>
      <c r="E10" s="63" t="str">
        <f aca="false">IF($A10="","",SUMIF(Gantt!$D$4:$D$33,$A10,Gantt!K$4:K$33))</f>
        <v/>
      </c>
      <c r="F10" s="63" t="str">
        <f aca="false">IF($A10="","",SUMIF(Gantt!$D$4:$D$33,$A10,Gantt!L$4:L$33))</f>
        <v/>
      </c>
      <c r="G10" s="63" t="str">
        <f aca="false">IF($A10="","",SUMIF(Gantt!$D$4:$D$33,$A10,Gantt!M$4:M$33))</f>
        <v/>
      </c>
      <c r="H10" s="63" t="str">
        <f aca="false">IF($A10="","",SUMIF(Gantt!$D$4:$D$33,$A10,Gantt!N$4:N$33))</f>
        <v/>
      </c>
      <c r="I10" s="63" t="str">
        <f aca="false">IF($A10="","",SUMIF(Gantt!$D$4:$D$33,$A10,Gantt!O$4:O$33))</f>
        <v/>
      </c>
      <c r="J10" s="63" t="str">
        <f aca="false">IF($A10="","",SUMIF(Gantt!$D$4:$D$33,$A10,Gantt!P$4:P$33))</f>
        <v/>
      </c>
      <c r="K10" s="63" t="str">
        <f aca="false">IF($A10="","",SUMIF(Gantt!$D$4:$D$33,$A10,Gantt!Q$4:Q$33))</f>
        <v/>
      </c>
      <c r="L10" s="63" t="str">
        <f aca="false">IF($A10="","",SUMIF(Gantt!$D$4:$D$33,$A10,Gantt!R$4:R$33))</f>
        <v/>
      </c>
      <c r="M10" s="63" t="str">
        <f aca="false">IF($A10="","",SUMIF(Gantt!$D$4:$D$33,$A10,Gantt!S$4:S$33))</f>
        <v/>
      </c>
      <c r="N10" s="63" t="str">
        <f aca="false">IF($A10="","",SUMIF(Gantt!$D$4:$D$33,$A10,Gantt!T$4:T$33))</f>
        <v/>
      </c>
      <c r="O10" s="63" t="str">
        <f aca="false">IF($A10="","",SUMIF(Gantt!$D$4:$D$33,$A10,Gantt!U$4:U$33))</f>
        <v/>
      </c>
      <c r="P10" s="63" t="str">
        <f aca="false">IF($A10="","",SUMIF(Gantt!$D$4:$D$33,$A10,Gantt!V$4:V$33))</f>
        <v/>
      </c>
      <c r="Q10" s="63" t="str">
        <f aca="false">IF($A10="","",SUMIF(Gantt!$D$4:$D$33,$A10,Gantt!W$4:W$33))</f>
        <v/>
      </c>
      <c r="R10" s="63" t="str">
        <f aca="false">IF($A10="","",SUMIF(Gantt!$D$4:$D$33,$A10,Gantt!X$4:X$33))</f>
        <v/>
      </c>
      <c r="S10" s="63" t="str">
        <f aca="false">IF($A10="","",SUMIF(Gantt!$D$4:$D$33,$A10,Gantt!Y$4:Y$33))</f>
        <v/>
      </c>
      <c r="T10" s="63" t="str">
        <f aca="false">IF($A10="","",SUMIF(Gantt!$D$4:$D$33,$A10,Gantt!Z$4:Z$33))</f>
        <v/>
      </c>
      <c r="U10" s="63" t="str">
        <f aca="false">IF($A10="","",SUMIF(Gantt!$D$4:$D$33,$A10,Gantt!AA$4:AA$33))</f>
        <v/>
      </c>
    </row>
    <row r="11" customFormat="false" ht="15" hidden="false" customHeight="false" outlineLevel="0" collapsed="false">
      <c r="A11" s="61"/>
      <c r="B11" s="62"/>
      <c r="C11" s="64" t="str">
        <f aca="false">IF(A11="","",SUMIF(Gantt!$D$4:$D$33,A11,Gantt!$G$4:$G$33))</f>
        <v/>
      </c>
      <c r="D11" s="64" t="str">
        <f aca="false">IF($A11="","",SUMIF(Gantt!$D$4:$D$33,$A11,Gantt!J$4:J$33))</f>
        <v/>
      </c>
      <c r="E11" s="64" t="str">
        <f aca="false">IF($A11="","",SUMIF(Gantt!$D$4:$D$33,$A11,Gantt!K$4:K$33))</f>
        <v/>
      </c>
      <c r="F11" s="64" t="str">
        <f aca="false">IF($A11="","",SUMIF(Gantt!$D$4:$D$33,$A11,Gantt!L$4:L$33))</f>
        <v/>
      </c>
      <c r="G11" s="64" t="str">
        <f aca="false">IF($A11="","",SUMIF(Gantt!$D$4:$D$33,$A11,Gantt!M$4:M$33))</f>
        <v/>
      </c>
      <c r="H11" s="64" t="str">
        <f aca="false">IF($A11="","",SUMIF(Gantt!$D$4:$D$33,$A11,Gantt!N$4:N$33))</f>
        <v/>
      </c>
      <c r="I11" s="64" t="str">
        <f aca="false">IF($A11="","",SUMIF(Gantt!$D$4:$D$33,$A11,Gantt!O$4:O$33))</f>
        <v/>
      </c>
      <c r="J11" s="64" t="str">
        <f aca="false">IF($A11="","",SUMIF(Gantt!$D$4:$D$33,$A11,Gantt!P$4:P$33))</f>
        <v/>
      </c>
      <c r="K11" s="64" t="str">
        <f aca="false">IF($A11="","",SUMIF(Gantt!$D$4:$D$33,$A11,Gantt!Q$4:Q$33))</f>
        <v/>
      </c>
      <c r="L11" s="64" t="str">
        <f aca="false">IF($A11="","",SUMIF(Gantt!$D$4:$D$33,$A11,Gantt!R$4:R$33))</f>
        <v/>
      </c>
      <c r="M11" s="64" t="str">
        <f aca="false">IF($A11="","",SUMIF(Gantt!$D$4:$D$33,$A11,Gantt!S$4:S$33))</f>
        <v/>
      </c>
      <c r="N11" s="64" t="str">
        <f aca="false">IF($A11="","",SUMIF(Gantt!$D$4:$D$33,$A11,Gantt!T$4:T$33))</f>
        <v/>
      </c>
      <c r="O11" s="64" t="str">
        <f aca="false">IF($A11="","",SUMIF(Gantt!$D$4:$D$33,$A11,Gantt!U$4:U$33))</f>
        <v/>
      </c>
      <c r="P11" s="64" t="str">
        <f aca="false">IF($A11="","",SUMIF(Gantt!$D$4:$D$33,$A11,Gantt!V$4:V$33))</f>
        <v/>
      </c>
      <c r="Q11" s="64" t="str">
        <f aca="false">IF($A11="","",SUMIF(Gantt!$D$4:$D$33,$A11,Gantt!W$4:W$33))</f>
        <v/>
      </c>
      <c r="R11" s="64" t="str">
        <f aca="false">IF($A11="","",SUMIF(Gantt!$D$4:$D$33,$A11,Gantt!X$4:X$33))</f>
        <v/>
      </c>
      <c r="S11" s="64" t="str">
        <f aca="false">IF($A11="","",SUMIF(Gantt!$D$4:$D$33,$A11,Gantt!Y$4:Y$33))</f>
        <v/>
      </c>
      <c r="T11" s="64" t="str">
        <f aca="false">IF($A11="","",SUMIF(Gantt!$D$4:$D$33,$A11,Gantt!Z$4:Z$33))</f>
        <v/>
      </c>
      <c r="U11" s="64" t="str">
        <f aca="false">IF($A11="","",SUMIF(Gantt!$D$4:$D$33,$A11,Gantt!AA$4:AA$33))</f>
        <v/>
      </c>
    </row>
    <row r="12" customFormat="false" ht="15" hidden="false" customHeight="false" outlineLevel="0" collapsed="false">
      <c r="A12" s="61"/>
      <c r="B12" s="62"/>
      <c r="C12" s="63" t="str">
        <f aca="false">IF(A12="","",SUMIF(Gantt!$D$4:$D$33,A12,Gantt!$G$4:$G$33))</f>
        <v/>
      </c>
      <c r="D12" s="63" t="str">
        <f aca="false">IF($A12="","",SUMIF(Gantt!$D$4:$D$33,$A12,Gantt!J$4:J$33))</f>
        <v/>
      </c>
      <c r="E12" s="63" t="str">
        <f aca="false">IF($A12="","",SUMIF(Gantt!$D$4:$D$33,$A12,Gantt!K$4:K$33))</f>
        <v/>
      </c>
      <c r="F12" s="63" t="str">
        <f aca="false">IF($A12="","",SUMIF(Gantt!$D$4:$D$33,$A12,Gantt!L$4:L$33))</f>
        <v/>
      </c>
      <c r="G12" s="63" t="str">
        <f aca="false">IF($A12="","",SUMIF(Gantt!$D$4:$D$33,$A12,Gantt!M$4:M$33))</f>
        <v/>
      </c>
      <c r="H12" s="63" t="str">
        <f aca="false">IF($A12="","",SUMIF(Gantt!$D$4:$D$33,$A12,Gantt!N$4:N$33))</f>
        <v/>
      </c>
      <c r="I12" s="63" t="str">
        <f aca="false">IF($A12="","",SUMIF(Gantt!$D$4:$D$33,$A12,Gantt!O$4:O$33))</f>
        <v/>
      </c>
      <c r="J12" s="63" t="str">
        <f aca="false">IF($A12="","",SUMIF(Gantt!$D$4:$D$33,$A12,Gantt!P$4:P$33))</f>
        <v/>
      </c>
      <c r="K12" s="63" t="str">
        <f aca="false">IF($A12="","",SUMIF(Gantt!$D$4:$D$33,$A12,Gantt!Q$4:Q$33))</f>
        <v/>
      </c>
      <c r="L12" s="63" t="str">
        <f aca="false">IF($A12="","",SUMIF(Gantt!$D$4:$D$33,$A12,Gantt!R$4:R$33))</f>
        <v/>
      </c>
      <c r="M12" s="63" t="str">
        <f aca="false">IF($A12="","",SUMIF(Gantt!$D$4:$D$33,$A12,Gantt!S$4:S$33))</f>
        <v/>
      </c>
      <c r="N12" s="63" t="str">
        <f aca="false">IF($A12="","",SUMIF(Gantt!$D$4:$D$33,$A12,Gantt!T$4:T$33))</f>
        <v/>
      </c>
      <c r="O12" s="63" t="str">
        <f aca="false">IF($A12="","",SUMIF(Gantt!$D$4:$D$33,$A12,Gantt!U$4:U$33))</f>
        <v/>
      </c>
      <c r="P12" s="63" t="str">
        <f aca="false">IF($A12="","",SUMIF(Gantt!$D$4:$D$33,$A12,Gantt!V$4:V$33))</f>
        <v/>
      </c>
      <c r="Q12" s="63" t="str">
        <f aca="false">IF($A12="","",SUMIF(Gantt!$D$4:$D$33,$A12,Gantt!W$4:W$33))</f>
        <v/>
      </c>
      <c r="R12" s="63" t="str">
        <f aca="false">IF($A12="","",SUMIF(Gantt!$D$4:$D$33,$A12,Gantt!X$4:X$33))</f>
        <v/>
      </c>
      <c r="S12" s="63" t="str">
        <f aca="false">IF($A12="","",SUMIF(Gantt!$D$4:$D$33,$A12,Gantt!Y$4:Y$33))</f>
        <v/>
      </c>
      <c r="T12" s="63" t="str">
        <f aca="false">IF($A12="","",SUMIF(Gantt!$D$4:$D$33,$A12,Gantt!Z$4:Z$33))</f>
        <v/>
      </c>
      <c r="U12" s="63" t="str">
        <f aca="false">IF($A12="","",SUMIF(Gantt!$D$4:$D$33,$A12,Gantt!AA$4:AA$33))</f>
        <v/>
      </c>
    </row>
    <row r="13" customFormat="false" ht="15" hidden="false" customHeight="false" outlineLevel="0" collapsed="false">
      <c r="A13" s="61"/>
      <c r="B13" s="62"/>
      <c r="C13" s="64" t="str">
        <f aca="false">IF(A13="","",SUMIF(Gantt!$D$4:$D$33,A13,Gantt!$G$4:$G$33))</f>
        <v/>
      </c>
      <c r="D13" s="64" t="str">
        <f aca="false">IF($A13="","",SUMIF(Gantt!$D$4:$D$33,$A13,Gantt!J$4:J$33))</f>
        <v/>
      </c>
      <c r="E13" s="64" t="str">
        <f aca="false">IF($A13="","",SUMIF(Gantt!$D$4:$D$33,$A13,Gantt!K$4:K$33))</f>
        <v/>
      </c>
      <c r="F13" s="64" t="str">
        <f aca="false">IF($A13="","",SUMIF(Gantt!$D$4:$D$33,$A13,Gantt!L$4:L$33))</f>
        <v/>
      </c>
      <c r="G13" s="64" t="str">
        <f aca="false">IF($A13="","",SUMIF(Gantt!$D$4:$D$33,$A13,Gantt!M$4:M$33))</f>
        <v/>
      </c>
      <c r="H13" s="64" t="str">
        <f aca="false">IF($A13="","",SUMIF(Gantt!$D$4:$D$33,$A13,Gantt!N$4:N$33))</f>
        <v/>
      </c>
      <c r="I13" s="64" t="str">
        <f aca="false">IF($A13="","",SUMIF(Gantt!$D$4:$D$33,$A13,Gantt!O$4:O$33))</f>
        <v/>
      </c>
      <c r="J13" s="64" t="str">
        <f aca="false">IF($A13="","",SUMIF(Gantt!$D$4:$D$33,$A13,Gantt!P$4:P$33))</f>
        <v/>
      </c>
      <c r="K13" s="64" t="str">
        <f aca="false">IF($A13="","",SUMIF(Gantt!$D$4:$D$33,$A13,Gantt!Q$4:Q$33))</f>
        <v/>
      </c>
      <c r="L13" s="64" t="str">
        <f aca="false">IF($A13="","",SUMIF(Gantt!$D$4:$D$33,$A13,Gantt!R$4:R$33))</f>
        <v/>
      </c>
      <c r="M13" s="64" t="str">
        <f aca="false">IF($A13="","",SUMIF(Gantt!$D$4:$D$33,$A13,Gantt!S$4:S$33))</f>
        <v/>
      </c>
      <c r="N13" s="64" t="str">
        <f aca="false">IF($A13="","",SUMIF(Gantt!$D$4:$D$33,$A13,Gantt!T$4:T$33))</f>
        <v/>
      </c>
      <c r="O13" s="64" t="str">
        <f aca="false">IF($A13="","",SUMIF(Gantt!$D$4:$D$33,$A13,Gantt!U$4:U$33))</f>
        <v/>
      </c>
      <c r="P13" s="64" t="str">
        <f aca="false">IF($A13="","",SUMIF(Gantt!$D$4:$D$33,$A13,Gantt!V$4:V$33))</f>
        <v/>
      </c>
      <c r="Q13" s="64" t="str">
        <f aca="false">IF($A13="","",SUMIF(Gantt!$D$4:$D$33,$A13,Gantt!W$4:W$33))</f>
        <v/>
      </c>
      <c r="R13" s="64" t="str">
        <f aca="false">IF($A13="","",SUMIF(Gantt!$D$4:$D$33,$A13,Gantt!X$4:X$33))</f>
        <v/>
      </c>
      <c r="S13" s="64" t="str">
        <f aca="false">IF($A13="","",SUMIF(Gantt!$D$4:$D$33,$A13,Gantt!Y$4:Y$33))</f>
        <v/>
      </c>
      <c r="T13" s="64" t="str">
        <f aca="false">IF($A13="","",SUMIF(Gantt!$D$4:$D$33,$A13,Gantt!Z$4:Z$33))</f>
        <v/>
      </c>
      <c r="U13" s="64" t="str">
        <f aca="false">IF($A13="","",SUMIF(Gantt!$D$4:$D$33,$A13,Gantt!AA$4:AA$33))</f>
        <v/>
      </c>
    </row>
    <row r="14" customFormat="false" ht="15" hidden="false" customHeight="false" outlineLevel="0" collapsed="false">
      <c r="A14" s="61"/>
      <c r="B14" s="62"/>
      <c r="C14" s="63" t="str">
        <f aca="false">IF(A14="","",SUMIF(Gantt!$D$4:$D$33,A14,Gantt!$G$4:$G$33))</f>
        <v/>
      </c>
      <c r="D14" s="63" t="str">
        <f aca="false">IF($A14="","",SUMIF(Gantt!$D$4:$D$33,$A14,Gantt!J$4:J$33))</f>
        <v/>
      </c>
      <c r="E14" s="63" t="str">
        <f aca="false">IF($A14="","",SUMIF(Gantt!$D$4:$D$33,$A14,Gantt!K$4:K$33))</f>
        <v/>
      </c>
      <c r="F14" s="63" t="str">
        <f aca="false">IF($A14="","",SUMIF(Gantt!$D$4:$D$33,$A14,Gantt!L$4:L$33))</f>
        <v/>
      </c>
      <c r="G14" s="63" t="str">
        <f aca="false">IF($A14="","",SUMIF(Gantt!$D$4:$D$33,$A14,Gantt!M$4:M$33))</f>
        <v/>
      </c>
      <c r="H14" s="63" t="str">
        <f aca="false">IF($A14="","",SUMIF(Gantt!$D$4:$D$33,$A14,Gantt!N$4:N$33))</f>
        <v/>
      </c>
      <c r="I14" s="63" t="str">
        <f aca="false">IF($A14="","",SUMIF(Gantt!$D$4:$D$33,$A14,Gantt!O$4:O$33))</f>
        <v/>
      </c>
      <c r="J14" s="63" t="str">
        <f aca="false">IF($A14="","",SUMIF(Gantt!$D$4:$D$33,$A14,Gantt!P$4:P$33))</f>
        <v/>
      </c>
      <c r="K14" s="63" t="str">
        <f aca="false">IF($A14="","",SUMIF(Gantt!$D$4:$D$33,$A14,Gantt!Q$4:Q$33))</f>
        <v/>
      </c>
      <c r="L14" s="63" t="str">
        <f aca="false">IF($A14="","",SUMIF(Gantt!$D$4:$D$33,$A14,Gantt!R$4:R$33))</f>
        <v/>
      </c>
      <c r="M14" s="63" t="str">
        <f aca="false">IF($A14="","",SUMIF(Gantt!$D$4:$D$33,$A14,Gantt!S$4:S$33))</f>
        <v/>
      </c>
      <c r="N14" s="63" t="str">
        <f aca="false">IF($A14="","",SUMIF(Gantt!$D$4:$D$33,$A14,Gantt!T$4:T$33))</f>
        <v/>
      </c>
      <c r="O14" s="63" t="str">
        <f aca="false">IF($A14="","",SUMIF(Gantt!$D$4:$D$33,$A14,Gantt!U$4:U$33))</f>
        <v/>
      </c>
      <c r="P14" s="63" t="str">
        <f aca="false">IF($A14="","",SUMIF(Gantt!$D$4:$D$33,$A14,Gantt!V$4:V$33))</f>
        <v/>
      </c>
      <c r="Q14" s="63" t="str">
        <f aca="false">IF($A14="","",SUMIF(Gantt!$D$4:$D$33,$A14,Gantt!W$4:W$33))</f>
        <v/>
      </c>
      <c r="R14" s="63" t="str">
        <f aca="false">IF($A14="","",SUMIF(Gantt!$D$4:$D$33,$A14,Gantt!X$4:X$33))</f>
        <v/>
      </c>
      <c r="S14" s="63" t="str">
        <f aca="false">IF($A14="","",SUMIF(Gantt!$D$4:$D$33,$A14,Gantt!Y$4:Y$33))</f>
        <v/>
      </c>
      <c r="T14" s="63" t="str">
        <f aca="false">IF($A14="","",SUMIF(Gantt!$D$4:$D$33,$A14,Gantt!Z$4:Z$33))</f>
        <v/>
      </c>
      <c r="U14" s="63" t="str">
        <f aca="false">IF($A14="","",SUMIF(Gantt!$D$4:$D$33,$A14,Gantt!AA$4:AA$33))</f>
        <v/>
      </c>
    </row>
    <row r="15" customFormat="false" ht="15" hidden="false" customHeight="false" outlineLevel="0" collapsed="false">
      <c r="A15" s="61"/>
      <c r="B15" s="62"/>
      <c r="C15" s="64" t="str">
        <f aca="false">IF(A15="","",SUMIF(Gantt!$D$4:$D$33,A15,Gantt!$G$4:$G$33))</f>
        <v/>
      </c>
      <c r="D15" s="64" t="str">
        <f aca="false">IF($A15="","",SUMIF(Gantt!$D$4:$D$33,$A15,Gantt!J$4:J$33))</f>
        <v/>
      </c>
      <c r="E15" s="64" t="str">
        <f aca="false">IF($A15="","",SUMIF(Gantt!$D$4:$D$33,$A15,Gantt!K$4:K$33))</f>
        <v/>
      </c>
      <c r="F15" s="64" t="str">
        <f aca="false">IF($A15="","",SUMIF(Gantt!$D$4:$D$33,$A15,Gantt!L$4:L$33))</f>
        <v/>
      </c>
      <c r="G15" s="64" t="str">
        <f aca="false">IF($A15="","",SUMIF(Gantt!$D$4:$D$33,$A15,Gantt!M$4:M$33))</f>
        <v/>
      </c>
      <c r="H15" s="64" t="str">
        <f aca="false">IF($A15="","",SUMIF(Gantt!$D$4:$D$33,$A15,Gantt!N$4:N$33))</f>
        <v/>
      </c>
      <c r="I15" s="64" t="str">
        <f aca="false">IF($A15="","",SUMIF(Gantt!$D$4:$D$33,$A15,Gantt!O$4:O$33))</f>
        <v/>
      </c>
      <c r="J15" s="64" t="str">
        <f aca="false">IF($A15="","",SUMIF(Gantt!$D$4:$D$33,$A15,Gantt!P$4:P$33))</f>
        <v/>
      </c>
      <c r="K15" s="64" t="str">
        <f aca="false">IF($A15="","",SUMIF(Gantt!$D$4:$D$33,$A15,Gantt!Q$4:Q$33))</f>
        <v/>
      </c>
      <c r="L15" s="64" t="str">
        <f aca="false">IF($A15="","",SUMIF(Gantt!$D$4:$D$33,$A15,Gantt!R$4:R$33))</f>
        <v/>
      </c>
      <c r="M15" s="64" t="str">
        <f aca="false">IF($A15="","",SUMIF(Gantt!$D$4:$D$33,$A15,Gantt!S$4:S$33))</f>
        <v/>
      </c>
      <c r="N15" s="64" t="str">
        <f aca="false">IF($A15="","",SUMIF(Gantt!$D$4:$D$33,$A15,Gantt!T$4:T$33))</f>
        <v/>
      </c>
      <c r="O15" s="64" t="str">
        <f aca="false">IF($A15="","",SUMIF(Gantt!$D$4:$D$33,$A15,Gantt!U$4:U$33))</f>
        <v/>
      </c>
      <c r="P15" s="64" t="str">
        <f aca="false">IF($A15="","",SUMIF(Gantt!$D$4:$D$33,$A15,Gantt!V$4:V$33))</f>
        <v/>
      </c>
      <c r="Q15" s="64" t="str">
        <f aca="false">IF($A15="","",SUMIF(Gantt!$D$4:$D$33,$A15,Gantt!W$4:W$33))</f>
        <v/>
      </c>
      <c r="R15" s="64" t="str">
        <f aca="false">IF($A15="","",SUMIF(Gantt!$D$4:$D$33,$A15,Gantt!X$4:X$33))</f>
        <v/>
      </c>
      <c r="S15" s="64" t="str">
        <f aca="false">IF($A15="","",SUMIF(Gantt!$D$4:$D$33,$A15,Gantt!Y$4:Y$33))</f>
        <v/>
      </c>
      <c r="T15" s="64" t="str">
        <f aca="false">IF($A15="","",SUMIF(Gantt!$D$4:$D$33,$A15,Gantt!Z$4:Z$33))</f>
        <v/>
      </c>
      <c r="U15" s="64" t="str">
        <f aca="false">IF($A15="","",SUMIF(Gantt!$D$4:$D$33,$A15,Gantt!AA$4:AA$33))</f>
        <v/>
      </c>
    </row>
    <row r="16" customFormat="false" ht="15" hidden="false" customHeight="false" outlineLevel="0" collapsed="false">
      <c r="A16" s="61"/>
      <c r="B16" s="62"/>
      <c r="C16" s="63" t="str">
        <f aca="false">IF(A16="","",SUMIF(Gantt!$D$4:$D$33,A16,Gantt!$G$4:$G$33))</f>
        <v/>
      </c>
      <c r="D16" s="63" t="str">
        <f aca="false">IF($A16="","",SUMIF(Gantt!$D$4:$D$33,$A16,Gantt!J$4:J$33))</f>
        <v/>
      </c>
      <c r="E16" s="63" t="str">
        <f aca="false">IF($A16="","",SUMIF(Gantt!$D$4:$D$33,$A16,Gantt!K$4:K$33))</f>
        <v/>
      </c>
      <c r="F16" s="63" t="str">
        <f aca="false">IF($A16="","",SUMIF(Gantt!$D$4:$D$33,$A16,Gantt!L$4:L$33))</f>
        <v/>
      </c>
      <c r="G16" s="63" t="str">
        <f aca="false">IF($A16="","",SUMIF(Gantt!$D$4:$D$33,$A16,Gantt!M$4:M$33))</f>
        <v/>
      </c>
      <c r="H16" s="63" t="str">
        <f aca="false">IF($A16="","",SUMIF(Gantt!$D$4:$D$33,$A16,Gantt!N$4:N$33))</f>
        <v/>
      </c>
      <c r="I16" s="63" t="str">
        <f aca="false">IF($A16="","",SUMIF(Gantt!$D$4:$D$33,$A16,Gantt!O$4:O$33))</f>
        <v/>
      </c>
      <c r="J16" s="63" t="str">
        <f aca="false">IF($A16="","",SUMIF(Gantt!$D$4:$D$33,$A16,Gantt!P$4:P$33))</f>
        <v/>
      </c>
      <c r="K16" s="63" t="str">
        <f aca="false">IF($A16="","",SUMIF(Gantt!$D$4:$D$33,$A16,Gantt!Q$4:Q$33))</f>
        <v/>
      </c>
      <c r="L16" s="63" t="str">
        <f aca="false">IF($A16="","",SUMIF(Gantt!$D$4:$D$33,$A16,Gantt!R$4:R$33))</f>
        <v/>
      </c>
      <c r="M16" s="63" t="str">
        <f aca="false">IF($A16="","",SUMIF(Gantt!$D$4:$D$33,$A16,Gantt!S$4:S$33))</f>
        <v/>
      </c>
      <c r="N16" s="63" t="str">
        <f aca="false">IF($A16="","",SUMIF(Gantt!$D$4:$D$33,$A16,Gantt!T$4:T$33))</f>
        <v/>
      </c>
      <c r="O16" s="63" t="str">
        <f aca="false">IF($A16="","",SUMIF(Gantt!$D$4:$D$33,$A16,Gantt!U$4:U$33))</f>
        <v/>
      </c>
      <c r="P16" s="63" t="str">
        <f aca="false">IF($A16="","",SUMIF(Gantt!$D$4:$D$33,$A16,Gantt!V$4:V$33))</f>
        <v/>
      </c>
      <c r="Q16" s="63" t="str">
        <f aca="false">IF($A16="","",SUMIF(Gantt!$D$4:$D$33,$A16,Gantt!W$4:W$33))</f>
        <v/>
      </c>
      <c r="R16" s="63" t="str">
        <f aca="false">IF($A16="","",SUMIF(Gantt!$D$4:$D$33,$A16,Gantt!X$4:X$33))</f>
        <v/>
      </c>
      <c r="S16" s="63" t="str">
        <f aca="false">IF($A16="","",SUMIF(Gantt!$D$4:$D$33,$A16,Gantt!Y$4:Y$33))</f>
        <v/>
      </c>
      <c r="T16" s="63" t="str">
        <f aca="false">IF($A16="","",SUMIF(Gantt!$D$4:$D$33,$A16,Gantt!Z$4:Z$33))</f>
        <v/>
      </c>
      <c r="U16" s="63" t="str">
        <f aca="false">IF($A16="","",SUMIF(Gantt!$D$4:$D$33,$A16,Gantt!AA$4:AA$33))</f>
        <v/>
      </c>
    </row>
    <row r="17" customFormat="false" ht="15" hidden="false" customHeight="false" outlineLevel="0" collapsed="false">
      <c r="A17" s="61"/>
      <c r="B17" s="62"/>
      <c r="C17" s="64" t="str">
        <f aca="false">IF(A17="","",SUMIF(Gantt!$D$4:$D$33,A17,Gantt!$G$4:$G$33))</f>
        <v/>
      </c>
      <c r="D17" s="64" t="str">
        <f aca="false">IF($A17="","",SUMIF(Gantt!$D$4:$D$33,$A17,Gantt!J$4:J$33))</f>
        <v/>
      </c>
      <c r="E17" s="64" t="str">
        <f aca="false">IF($A17="","",SUMIF(Gantt!$D$4:$D$33,$A17,Gantt!K$4:K$33))</f>
        <v/>
      </c>
      <c r="F17" s="64" t="str">
        <f aca="false">IF($A17="","",SUMIF(Gantt!$D$4:$D$33,$A17,Gantt!L$4:L$33))</f>
        <v/>
      </c>
      <c r="G17" s="64" t="str">
        <f aca="false">IF($A17="","",SUMIF(Gantt!$D$4:$D$33,$A17,Gantt!M$4:M$33))</f>
        <v/>
      </c>
      <c r="H17" s="64" t="str">
        <f aca="false">IF($A17="","",SUMIF(Gantt!$D$4:$D$33,$A17,Gantt!N$4:N$33))</f>
        <v/>
      </c>
      <c r="I17" s="64" t="str">
        <f aca="false">IF($A17="","",SUMIF(Gantt!$D$4:$D$33,$A17,Gantt!O$4:O$33))</f>
        <v/>
      </c>
      <c r="J17" s="64" t="str">
        <f aca="false">IF($A17="","",SUMIF(Gantt!$D$4:$D$33,$A17,Gantt!P$4:P$33))</f>
        <v/>
      </c>
      <c r="K17" s="64" t="str">
        <f aca="false">IF($A17="","",SUMIF(Gantt!$D$4:$D$33,$A17,Gantt!Q$4:Q$33))</f>
        <v/>
      </c>
      <c r="L17" s="64" t="str">
        <f aca="false">IF($A17="","",SUMIF(Gantt!$D$4:$D$33,$A17,Gantt!R$4:R$33))</f>
        <v/>
      </c>
      <c r="M17" s="64" t="str">
        <f aca="false">IF($A17="","",SUMIF(Gantt!$D$4:$D$33,$A17,Gantt!S$4:S$33))</f>
        <v/>
      </c>
      <c r="N17" s="64" t="str">
        <f aca="false">IF($A17="","",SUMIF(Gantt!$D$4:$D$33,$A17,Gantt!T$4:T$33))</f>
        <v/>
      </c>
      <c r="O17" s="64" t="str">
        <f aca="false">IF($A17="","",SUMIF(Gantt!$D$4:$D$33,$A17,Gantt!U$4:U$33))</f>
        <v/>
      </c>
      <c r="P17" s="64" t="str">
        <f aca="false">IF($A17="","",SUMIF(Gantt!$D$4:$D$33,$A17,Gantt!V$4:V$33))</f>
        <v/>
      </c>
      <c r="Q17" s="64" t="str">
        <f aca="false">IF($A17="","",SUMIF(Gantt!$D$4:$D$33,$A17,Gantt!W$4:W$33))</f>
        <v/>
      </c>
      <c r="R17" s="64" t="str">
        <f aca="false">IF($A17="","",SUMIF(Gantt!$D$4:$D$33,$A17,Gantt!X$4:X$33))</f>
        <v/>
      </c>
      <c r="S17" s="64" t="str">
        <f aca="false">IF($A17="","",SUMIF(Gantt!$D$4:$D$33,$A17,Gantt!Y$4:Y$33))</f>
        <v/>
      </c>
      <c r="T17" s="64" t="str">
        <f aca="false">IF($A17="","",SUMIF(Gantt!$D$4:$D$33,$A17,Gantt!Z$4:Z$33))</f>
        <v/>
      </c>
      <c r="U17" s="64" t="str">
        <f aca="false">IF($A17="","",SUMIF(Gantt!$D$4:$D$33,$A17,Gantt!AA$4:AA$33))</f>
        <v/>
      </c>
    </row>
    <row r="18" customFormat="false" ht="15" hidden="false" customHeight="false" outlineLevel="0" collapsed="false">
      <c r="A18" s="61"/>
      <c r="B18" s="62"/>
      <c r="C18" s="63" t="str">
        <f aca="false">IF(A18="","",SUMIF(Gantt!$D$4:$D$33,A18,Gantt!$G$4:$G$33))</f>
        <v/>
      </c>
      <c r="D18" s="63" t="str">
        <f aca="false">IF($A18="","",SUMIF(Gantt!$D$4:$D$33,$A18,Gantt!J$4:J$33))</f>
        <v/>
      </c>
      <c r="E18" s="63" t="str">
        <f aca="false">IF($A18="","",SUMIF(Gantt!$D$4:$D$33,$A18,Gantt!K$4:K$33))</f>
        <v/>
      </c>
      <c r="F18" s="63" t="str">
        <f aca="false">IF($A18="","",SUMIF(Gantt!$D$4:$D$33,$A18,Gantt!L$4:L$33))</f>
        <v/>
      </c>
      <c r="G18" s="63" t="str">
        <f aca="false">IF($A18="","",SUMIF(Gantt!$D$4:$D$33,$A18,Gantt!M$4:M$33))</f>
        <v/>
      </c>
      <c r="H18" s="63" t="str">
        <f aca="false">IF($A18="","",SUMIF(Gantt!$D$4:$D$33,$A18,Gantt!N$4:N$33))</f>
        <v/>
      </c>
      <c r="I18" s="63" t="str">
        <f aca="false">IF($A18="","",SUMIF(Gantt!$D$4:$D$33,$A18,Gantt!O$4:O$33))</f>
        <v/>
      </c>
      <c r="J18" s="63" t="str">
        <f aca="false">IF($A18="","",SUMIF(Gantt!$D$4:$D$33,$A18,Gantt!P$4:P$33))</f>
        <v/>
      </c>
      <c r="K18" s="63" t="str">
        <f aca="false">IF($A18="","",SUMIF(Gantt!$D$4:$D$33,$A18,Gantt!Q$4:Q$33))</f>
        <v/>
      </c>
      <c r="L18" s="63" t="str">
        <f aca="false">IF($A18="","",SUMIF(Gantt!$D$4:$D$33,$A18,Gantt!R$4:R$33))</f>
        <v/>
      </c>
      <c r="M18" s="63" t="str">
        <f aca="false">IF($A18="","",SUMIF(Gantt!$D$4:$D$33,$A18,Gantt!S$4:S$33))</f>
        <v/>
      </c>
      <c r="N18" s="63" t="str">
        <f aca="false">IF($A18="","",SUMIF(Gantt!$D$4:$D$33,$A18,Gantt!T$4:T$33))</f>
        <v/>
      </c>
      <c r="O18" s="63" t="str">
        <f aca="false">IF($A18="","",SUMIF(Gantt!$D$4:$D$33,$A18,Gantt!U$4:U$33))</f>
        <v/>
      </c>
      <c r="P18" s="63" t="str">
        <f aca="false">IF($A18="","",SUMIF(Gantt!$D$4:$D$33,$A18,Gantt!V$4:V$33))</f>
        <v/>
      </c>
      <c r="Q18" s="63" t="str">
        <f aca="false">IF($A18="","",SUMIF(Gantt!$D$4:$D$33,$A18,Gantt!W$4:W$33))</f>
        <v/>
      </c>
      <c r="R18" s="63" t="str">
        <f aca="false">IF($A18="","",SUMIF(Gantt!$D$4:$D$33,$A18,Gantt!X$4:X$33))</f>
        <v/>
      </c>
      <c r="S18" s="63" t="str">
        <f aca="false">IF($A18="","",SUMIF(Gantt!$D$4:$D$33,$A18,Gantt!Y$4:Y$33))</f>
        <v/>
      </c>
      <c r="T18" s="63" t="str">
        <f aca="false">IF($A18="","",SUMIF(Gantt!$D$4:$D$33,$A18,Gantt!Z$4:Z$33))</f>
        <v/>
      </c>
      <c r="U18" s="63" t="str">
        <f aca="false">IF($A18="","",SUMIF(Gantt!$D$4:$D$33,$A18,Gantt!AA$4:AA$33))</f>
        <v/>
      </c>
    </row>
    <row r="19" customFormat="false" ht="15" hidden="false" customHeight="false" outlineLevel="0" collapsed="false">
      <c r="A19" s="61"/>
      <c r="B19" s="62"/>
      <c r="C19" s="64" t="str">
        <f aca="false">IF(A19="","",SUMIF(Gantt!$D$4:$D$33,A19,Gantt!$G$4:$G$33))</f>
        <v/>
      </c>
      <c r="D19" s="64" t="str">
        <f aca="false">IF($A19="","",SUMIF(Gantt!$D$4:$D$33,$A19,Gantt!J$4:J$33))</f>
        <v/>
      </c>
      <c r="E19" s="64" t="str">
        <f aca="false">IF($A19="","",SUMIF(Gantt!$D$4:$D$33,$A19,Gantt!K$4:K$33))</f>
        <v/>
      </c>
      <c r="F19" s="64" t="str">
        <f aca="false">IF($A19="","",SUMIF(Gantt!$D$4:$D$33,$A19,Gantt!L$4:L$33))</f>
        <v/>
      </c>
      <c r="G19" s="64" t="str">
        <f aca="false">IF($A19="","",SUMIF(Gantt!$D$4:$D$33,$A19,Gantt!M$4:M$33))</f>
        <v/>
      </c>
      <c r="H19" s="64" t="str">
        <f aca="false">IF($A19="","",SUMIF(Gantt!$D$4:$D$33,$A19,Gantt!N$4:N$33))</f>
        <v/>
      </c>
      <c r="I19" s="64" t="str">
        <f aca="false">IF($A19="","",SUMIF(Gantt!$D$4:$D$33,$A19,Gantt!O$4:O$33))</f>
        <v/>
      </c>
      <c r="J19" s="64" t="str">
        <f aca="false">IF($A19="","",SUMIF(Gantt!$D$4:$D$33,$A19,Gantt!P$4:P$33))</f>
        <v/>
      </c>
      <c r="K19" s="64" t="str">
        <f aca="false">IF($A19="","",SUMIF(Gantt!$D$4:$D$33,$A19,Gantt!Q$4:Q$33))</f>
        <v/>
      </c>
      <c r="L19" s="64" t="str">
        <f aca="false">IF($A19="","",SUMIF(Gantt!$D$4:$D$33,$A19,Gantt!R$4:R$33))</f>
        <v/>
      </c>
      <c r="M19" s="64" t="str">
        <f aca="false">IF($A19="","",SUMIF(Gantt!$D$4:$D$33,$A19,Gantt!S$4:S$33))</f>
        <v/>
      </c>
      <c r="N19" s="64" t="str">
        <f aca="false">IF($A19="","",SUMIF(Gantt!$D$4:$D$33,$A19,Gantt!T$4:T$33))</f>
        <v/>
      </c>
      <c r="O19" s="64" t="str">
        <f aca="false">IF($A19="","",SUMIF(Gantt!$D$4:$D$33,$A19,Gantt!U$4:U$33))</f>
        <v/>
      </c>
      <c r="P19" s="64" t="str">
        <f aca="false">IF($A19="","",SUMIF(Gantt!$D$4:$D$33,$A19,Gantt!V$4:V$33))</f>
        <v/>
      </c>
      <c r="Q19" s="64" t="str">
        <f aca="false">IF($A19="","",SUMIF(Gantt!$D$4:$D$33,$A19,Gantt!W$4:W$33))</f>
        <v/>
      </c>
      <c r="R19" s="64" t="str">
        <f aca="false">IF($A19="","",SUMIF(Gantt!$D$4:$D$33,$A19,Gantt!X$4:X$33))</f>
        <v/>
      </c>
      <c r="S19" s="64" t="str">
        <f aca="false">IF($A19="","",SUMIF(Gantt!$D$4:$D$33,$A19,Gantt!Y$4:Y$33))</f>
        <v/>
      </c>
      <c r="T19" s="64" t="str">
        <f aca="false">IF($A19="","",SUMIF(Gantt!$D$4:$D$33,$A19,Gantt!Z$4:Z$33))</f>
        <v/>
      </c>
      <c r="U19" s="64" t="str">
        <f aca="false">IF($A19="","",SUMIF(Gantt!$D$4:$D$33,$A19,Gantt!AA$4:AA$33))</f>
        <v/>
      </c>
    </row>
    <row r="20" customFormat="false" ht="15" hidden="false" customHeight="false" outlineLevel="0" collapsed="false">
      <c r="A20" s="61"/>
      <c r="B20" s="62"/>
      <c r="C20" s="63" t="str">
        <f aca="false">IF(A20="","",SUMIF(Gantt!$D$4:$D$33,A20,Gantt!$G$4:$G$33))</f>
        <v/>
      </c>
      <c r="D20" s="63" t="str">
        <f aca="false">IF($A20="","",SUMIF(Gantt!$D$4:$D$33,$A20,Gantt!J$4:J$33))</f>
        <v/>
      </c>
      <c r="E20" s="63" t="str">
        <f aca="false">IF($A20="","",SUMIF(Gantt!$D$4:$D$33,$A20,Gantt!K$4:K$33))</f>
        <v/>
      </c>
      <c r="F20" s="63" t="str">
        <f aca="false">IF($A20="","",SUMIF(Gantt!$D$4:$D$33,$A20,Gantt!L$4:L$33))</f>
        <v/>
      </c>
      <c r="G20" s="63" t="str">
        <f aca="false">IF($A20="","",SUMIF(Gantt!$D$4:$D$33,$A20,Gantt!M$4:M$33))</f>
        <v/>
      </c>
      <c r="H20" s="63" t="str">
        <f aca="false">IF($A20="","",SUMIF(Gantt!$D$4:$D$33,$A20,Gantt!N$4:N$33))</f>
        <v/>
      </c>
      <c r="I20" s="63" t="str">
        <f aca="false">IF($A20="","",SUMIF(Gantt!$D$4:$D$33,$A20,Gantt!O$4:O$33))</f>
        <v/>
      </c>
      <c r="J20" s="63" t="str">
        <f aca="false">IF($A20="","",SUMIF(Gantt!$D$4:$D$33,$A20,Gantt!P$4:P$33))</f>
        <v/>
      </c>
      <c r="K20" s="63" t="str">
        <f aca="false">IF($A20="","",SUMIF(Gantt!$D$4:$D$33,$A20,Gantt!Q$4:Q$33))</f>
        <v/>
      </c>
      <c r="L20" s="63" t="str">
        <f aca="false">IF($A20="","",SUMIF(Gantt!$D$4:$D$33,$A20,Gantt!R$4:R$33))</f>
        <v/>
      </c>
      <c r="M20" s="63" t="str">
        <f aca="false">IF($A20="","",SUMIF(Gantt!$D$4:$D$33,$A20,Gantt!S$4:S$33))</f>
        <v/>
      </c>
      <c r="N20" s="63" t="str">
        <f aca="false">IF($A20="","",SUMIF(Gantt!$D$4:$D$33,$A20,Gantt!T$4:T$33))</f>
        <v/>
      </c>
      <c r="O20" s="63" t="str">
        <f aca="false">IF($A20="","",SUMIF(Gantt!$D$4:$D$33,$A20,Gantt!U$4:U$33))</f>
        <v/>
      </c>
      <c r="P20" s="63" t="str">
        <f aca="false">IF($A20="","",SUMIF(Gantt!$D$4:$D$33,$A20,Gantt!V$4:V$33))</f>
        <v/>
      </c>
      <c r="Q20" s="63" t="str">
        <f aca="false">IF($A20="","",SUMIF(Gantt!$D$4:$D$33,$A20,Gantt!W$4:W$33))</f>
        <v/>
      </c>
      <c r="R20" s="63" t="str">
        <f aca="false">IF($A20="","",SUMIF(Gantt!$D$4:$D$33,$A20,Gantt!X$4:X$33))</f>
        <v/>
      </c>
      <c r="S20" s="63" t="str">
        <f aca="false">IF($A20="","",SUMIF(Gantt!$D$4:$D$33,$A20,Gantt!Y$4:Y$33))</f>
        <v/>
      </c>
      <c r="T20" s="63" t="str">
        <f aca="false">IF($A20="","",SUMIF(Gantt!$D$4:$D$33,$A20,Gantt!Z$4:Z$33))</f>
        <v/>
      </c>
      <c r="U20" s="63" t="str">
        <f aca="false">IF($A20="","",SUMIF(Gantt!$D$4:$D$33,$A20,Gantt!AA$4:AA$33))</f>
        <v/>
      </c>
    </row>
    <row r="21" customFormat="false" ht="15" hidden="false" customHeight="false" outlineLevel="0" collapsed="false">
      <c r="A21" s="61"/>
      <c r="B21" s="62"/>
      <c r="C21" s="64" t="str">
        <f aca="false">IF(A21="","",SUMIF(Gantt!$D$4:$D$33,A21,Gantt!$G$4:$G$33))</f>
        <v/>
      </c>
      <c r="D21" s="64" t="str">
        <f aca="false">IF($A21="","",SUMIF(Gantt!$D$4:$D$33,$A21,Gantt!J$4:J$33))</f>
        <v/>
      </c>
      <c r="E21" s="64" t="str">
        <f aca="false">IF($A21="","",SUMIF(Gantt!$D$4:$D$33,$A21,Gantt!K$4:K$33))</f>
        <v/>
      </c>
      <c r="F21" s="64" t="str">
        <f aca="false">IF($A21="","",SUMIF(Gantt!$D$4:$D$33,$A21,Gantt!L$4:L$33))</f>
        <v/>
      </c>
      <c r="G21" s="64" t="str">
        <f aca="false">IF($A21="","",SUMIF(Gantt!$D$4:$D$33,$A21,Gantt!M$4:M$33))</f>
        <v/>
      </c>
      <c r="H21" s="64" t="str">
        <f aca="false">IF($A21="","",SUMIF(Gantt!$D$4:$D$33,$A21,Gantt!N$4:N$33))</f>
        <v/>
      </c>
      <c r="I21" s="64" t="str">
        <f aca="false">IF($A21="","",SUMIF(Gantt!$D$4:$D$33,$A21,Gantt!O$4:O$33))</f>
        <v/>
      </c>
      <c r="J21" s="64" t="str">
        <f aca="false">IF($A21="","",SUMIF(Gantt!$D$4:$D$33,$A21,Gantt!P$4:P$33))</f>
        <v/>
      </c>
      <c r="K21" s="64" t="str">
        <f aca="false">IF($A21="","",SUMIF(Gantt!$D$4:$D$33,$A21,Gantt!Q$4:Q$33))</f>
        <v/>
      </c>
      <c r="L21" s="64" t="str">
        <f aca="false">IF($A21="","",SUMIF(Gantt!$D$4:$D$33,$A21,Gantt!R$4:R$33))</f>
        <v/>
      </c>
      <c r="M21" s="64" t="str">
        <f aca="false">IF($A21="","",SUMIF(Gantt!$D$4:$D$33,$A21,Gantt!S$4:S$33))</f>
        <v/>
      </c>
      <c r="N21" s="64" t="str">
        <f aca="false">IF($A21="","",SUMIF(Gantt!$D$4:$D$33,$A21,Gantt!T$4:T$33))</f>
        <v/>
      </c>
      <c r="O21" s="64" t="str">
        <f aca="false">IF($A21="","",SUMIF(Gantt!$D$4:$D$33,$A21,Gantt!U$4:U$33))</f>
        <v/>
      </c>
      <c r="P21" s="64" t="str">
        <f aca="false">IF($A21="","",SUMIF(Gantt!$D$4:$D$33,$A21,Gantt!V$4:V$33))</f>
        <v/>
      </c>
      <c r="Q21" s="64" t="str">
        <f aca="false">IF($A21="","",SUMIF(Gantt!$D$4:$D$33,$A21,Gantt!W$4:W$33))</f>
        <v/>
      </c>
      <c r="R21" s="64" t="str">
        <f aca="false">IF($A21="","",SUMIF(Gantt!$D$4:$D$33,$A21,Gantt!X$4:X$33))</f>
        <v/>
      </c>
      <c r="S21" s="64" t="str">
        <f aca="false">IF($A21="","",SUMIF(Gantt!$D$4:$D$33,$A21,Gantt!Y$4:Y$33))</f>
        <v/>
      </c>
      <c r="T21" s="64" t="str">
        <f aca="false">IF($A21="","",SUMIF(Gantt!$D$4:$D$33,$A21,Gantt!Z$4:Z$33))</f>
        <v/>
      </c>
      <c r="U21" s="64" t="str">
        <f aca="false">IF($A21="","",SUMIF(Gantt!$D$4:$D$33,$A21,Gantt!AA$4:AA$33))</f>
        <v/>
      </c>
    </row>
    <row r="22" customFormat="false" ht="15" hidden="false" customHeight="false" outlineLevel="0" collapsed="false">
      <c r="A22" s="61"/>
      <c r="B22" s="62"/>
      <c r="C22" s="63" t="str">
        <f aca="false">IF(A22="","",SUMIF(Gantt!$D$4:$D$33,A22,Gantt!$G$4:$G$33))</f>
        <v/>
      </c>
      <c r="D22" s="63" t="str">
        <f aca="false">IF($A22="","",SUMIF(Gantt!$D$4:$D$33,$A22,Gantt!J$4:J$33))</f>
        <v/>
      </c>
      <c r="E22" s="63" t="str">
        <f aca="false">IF($A22="","",SUMIF(Gantt!$D$4:$D$33,$A22,Gantt!K$4:K$33))</f>
        <v/>
      </c>
      <c r="F22" s="63" t="str">
        <f aca="false">IF($A22="","",SUMIF(Gantt!$D$4:$D$33,$A22,Gantt!L$4:L$33))</f>
        <v/>
      </c>
      <c r="G22" s="63" t="str">
        <f aca="false">IF($A22="","",SUMIF(Gantt!$D$4:$D$33,$A22,Gantt!M$4:M$33))</f>
        <v/>
      </c>
      <c r="H22" s="63" t="str">
        <f aca="false">IF($A22="","",SUMIF(Gantt!$D$4:$D$33,$A22,Gantt!N$4:N$33))</f>
        <v/>
      </c>
      <c r="I22" s="63" t="str">
        <f aca="false">IF($A22="","",SUMIF(Gantt!$D$4:$D$33,$A22,Gantt!O$4:O$33))</f>
        <v/>
      </c>
      <c r="J22" s="63" t="str">
        <f aca="false">IF($A22="","",SUMIF(Gantt!$D$4:$D$33,$A22,Gantt!P$4:P$33))</f>
        <v/>
      </c>
      <c r="K22" s="63" t="str">
        <f aca="false">IF($A22="","",SUMIF(Gantt!$D$4:$D$33,$A22,Gantt!Q$4:Q$33))</f>
        <v/>
      </c>
      <c r="L22" s="63" t="str">
        <f aca="false">IF($A22="","",SUMIF(Gantt!$D$4:$D$33,$A22,Gantt!R$4:R$33))</f>
        <v/>
      </c>
      <c r="M22" s="63" t="str">
        <f aca="false">IF($A22="","",SUMIF(Gantt!$D$4:$D$33,$A22,Gantt!S$4:S$33))</f>
        <v/>
      </c>
      <c r="N22" s="63" t="str">
        <f aca="false">IF($A22="","",SUMIF(Gantt!$D$4:$D$33,$A22,Gantt!T$4:T$33))</f>
        <v/>
      </c>
      <c r="O22" s="63" t="str">
        <f aca="false">IF($A22="","",SUMIF(Gantt!$D$4:$D$33,$A22,Gantt!U$4:U$33))</f>
        <v/>
      </c>
      <c r="P22" s="63" t="str">
        <f aca="false">IF($A22="","",SUMIF(Gantt!$D$4:$D$33,$A22,Gantt!V$4:V$33))</f>
        <v/>
      </c>
      <c r="Q22" s="63" t="str">
        <f aca="false">IF($A22="","",SUMIF(Gantt!$D$4:$D$33,$A22,Gantt!W$4:W$33))</f>
        <v/>
      </c>
      <c r="R22" s="63" t="str">
        <f aca="false">IF($A22="","",SUMIF(Gantt!$D$4:$D$33,$A22,Gantt!X$4:X$33))</f>
        <v/>
      </c>
      <c r="S22" s="63" t="str">
        <f aca="false">IF($A22="","",SUMIF(Gantt!$D$4:$D$33,$A22,Gantt!Y$4:Y$33))</f>
        <v/>
      </c>
      <c r="T22" s="63" t="str">
        <f aca="false">IF($A22="","",SUMIF(Gantt!$D$4:$D$33,$A22,Gantt!Z$4:Z$33))</f>
        <v/>
      </c>
      <c r="U22" s="63" t="str">
        <f aca="false">IF($A22="","",SUMIF(Gantt!$D$4:$D$33,$A22,Gantt!AA$4:AA$33))</f>
        <v/>
      </c>
    </row>
    <row r="23" customFormat="false" ht="15" hidden="false" customHeight="false" outlineLevel="0" collapsed="false">
      <c r="A23" s="61"/>
      <c r="B23" s="62"/>
      <c r="C23" s="64" t="str">
        <f aca="false">IF(A23="","",SUMIF(Gantt!$D$4:$D$33,A23,Gantt!$G$4:$G$33))</f>
        <v/>
      </c>
      <c r="D23" s="64" t="str">
        <f aca="false">IF($A23="","",SUMIF(Gantt!$D$4:$D$33,$A23,Gantt!J$4:J$33))</f>
        <v/>
      </c>
      <c r="E23" s="64" t="str">
        <f aca="false">IF($A23="","",SUMIF(Gantt!$D$4:$D$33,$A23,Gantt!K$4:K$33))</f>
        <v/>
      </c>
      <c r="F23" s="64" t="str">
        <f aca="false">IF($A23="","",SUMIF(Gantt!$D$4:$D$33,$A23,Gantt!L$4:L$33))</f>
        <v/>
      </c>
      <c r="G23" s="64" t="str">
        <f aca="false">IF($A23="","",SUMIF(Gantt!$D$4:$D$33,$A23,Gantt!M$4:M$33))</f>
        <v/>
      </c>
      <c r="H23" s="64" t="str">
        <f aca="false">IF($A23="","",SUMIF(Gantt!$D$4:$D$33,$A23,Gantt!N$4:N$33))</f>
        <v/>
      </c>
      <c r="I23" s="64" t="str">
        <f aca="false">IF($A23="","",SUMIF(Gantt!$D$4:$D$33,$A23,Gantt!O$4:O$33))</f>
        <v/>
      </c>
      <c r="J23" s="64" t="str">
        <f aca="false">IF($A23="","",SUMIF(Gantt!$D$4:$D$33,$A23,Gantt!P$4:P$33))</f>
        <v/>
      </c>
      <c r="K23" s="64" t="str">
        <f aca="false">IF($A23="","",SUMIF(Gantt!$D$4:$D$33,$A23,Gantt!Q$4:Q$33))</f>
        <v/>
      </c>
      <c r="L23" s="64" t="str">
        <f aca="false">IF($A23="","",SUMIF(Gantt!$D$4:$D$33,$A23,Gantt!R$4:R$33))</f>
        <v/>
      </c>
      <c r="M23" s="64" t="str">
        <f aca="false">IF($A23="","",SUMIF(Gantt!$D$4:$D$33,$A23,Gantt!S$4:S$33))</f>
        <v/>
      </c>
      <c r="N23" s="64" t="str">
        <f aca="false">IF($A23="","",SUMIF(Gantt!$D$4:$D$33,$A23,Gantt!T$4:T$33))</f>
        <v/>
      </c>
      <c r="O23" s="64" t="str">
        <f aca="false">IF($A23="","",SUMIF(Gantt!$D$4:$D$33,$A23,Gantt!U$4:U$33))</f>
        <v/>
      </c>
      <c r="P23" s="64" t="str">
        <f aca="false">IF($A23="","",SUMIF(Gantt!$D$4:$D$33,$A23,Gantt!V$4:V$33))</f>
        <v/>
      </c>
      <c r="Q23" s="64" t="str">
        <f aca="false">IF($A23="","",SUMIF(Gantt!$D$4:$D$33,$A23,Gantt!W$4:W$33))</f>
        <v/>
      </c>
      <c r="R23" s="64" t="str">
        <f aca="false">IF($A23="","",SUMIF(Gantt!$D$4:$D$33,$A23,Gantt!X$4:X$33))</f>
        <v/>
      </c>
      <c r="S23" s="64" t="str">
        <f aca="false">IF($A23="","",SUMIF(Gantt!$D$4:$D$33,$A23,Gantt!Y$4:Y$33))</f>
        <v/>
      </c>
      <c r="T23" s="64" t="str">
        <f aca="false">IF($A23="","",SUMIF(Gantt!$D$4:$D$33,$A23,Gantt!Z$4:Z$33))</f>
        <v/>
      </c>
      <c r="U23" s="64" t="str">
        <f aca="false">IF($A23="","",SUMIF(Gantt!$D$4:$D$33,$A23,Gantt!AA$4:AA$33))</f>
        <v/>
      </c>
    </row>
    <row r="24" customFormat="false" ht="15" hidden="false" customHeight="false" outlineLevel="0" collapsed="false">
      <c r="A24" s="65" t="s">
        <v>51</v>
      </c>
      <c r="B24" s="65"/>
      <c r="C24" s="66" t="n">
        <f aca="false">SUM(C4:C23)</f>
        <v>1620</v>
      </c>
      <c r="D24" s="66" t="n">
        <f aca="false">SUM(D4:D23)</f>
        <v>80</v>
      </c>
      <c r="E24" s="66" t="n">
        <f aca="false">SUM(E4:E23)</f>
        <v>320</v>
      </c>
      <c r="F24" s="66" t="n">
        <f aca="false">SUM(F4:F23)</f>
        <v>320</v>
      </c>
      <c r="G24" s="66" t="n">
        <f aca="false">SUM(G4:G23)</f>
        <v>320</v>
      </c>
      <c r="H24" s="66" t="n">
        <f aca="false">SUM(H4:H23)</f>
        <v>320</v>
      </c>
      <c r="I24" s="66" t="n">
        <f aca="false">SUM(I4:I23)</f>
        <v>260</v>
      </c>
      <c r="J24" s="66" t="n">
        <f aca="false">SUM(J4:J23)</f>
        <v>0</v>
      </c>
      <c r="K24" s="66" t="n">
        <f aca="false">SUM(K4:K23)</f>
        <v>0</v>
      </c>
      <c r="L24" s="66" t="n">
        <f aca="false">SUM(L4:L23)</f>
        <v>0</v>
      </c>
      <c r="M24" s="66" t="n">
        <f aca="false">SUM(M4:M23)</f>
        <v>0</v>
      </c>
      <c r="N24" s="66" t="n">
        <f aca="false">SUM(N4:N23)</f>
        <v>0</v>
      </c>
      <c r="O24" s="66" t="n">
        <f aca="false">SUM(O4:O23)</f>
        <v>0</v>
      </c>
      <c r="P24" s="66" t="n">
        <f aca="false">SUM(P4:P23)</f>
        <v>0</v>
      </c>
      <c r="Q24" s="66" t="n">
        <f aca="false">SUM(Q4:Q23)</f>
        <v>0</v>
      </c>
      <c r="R24" s="66" t="n">
        <f aca="false">SUM(R4:R23)</f>
        <v>0</v>
      </c>
      <c r="S24" s="66" t="n">
        <f aca="false">SUM(S4:S23)</f>
        <v>0</v>
      </c>
      <c r="T24" s="66" t="n">
        <f aca="false">SUM(T4:T23)</f>
        <v>0</v>
      </c>
      <c r="U24" s="66" t="n">
        <f aca="false">SUM(U4:U23)</f>
        <v>0</v>
      </c>
    </row>
    <row r="25" customFormat="false" ht="15" hidden="false" customHeight="false" outlineLevel="0" collapsed="false">
      <c r="A25" s="67" t="s">
        <v>52</v>
      </c>
      <c r="B25" s="67"/>
      <c r="C25" s="67" t="n">
        <f aca="false">SUMIF(Gantt!$D$4:$D$33,"",Gantt!$G$4:$G$33)</f>
        <v>0</v>
      </c>
    </row>
    <row r="27" customFormat="false" ht="15" hidden="false" customHeight="false" outlineLevel="0" collapsed="false">
      <c r="A27" s="2" t="s">
        <v>53</v>
      </c>
    </row>
  </sheetData>
  <mergeCells count="1">
    <mergeCell ref="A1:U1"/>
  </mergeCells>
  <conditionalFormatting sqref="C4:C23">
    <cfRule type="dataBar" priority="2">
      <dataBar showValue="1" minLength="10" maxLength="90">
        <cfvo type="num" val="0"/>
        <cfvo type="max" val="0"/>
        <color rgb="FF70AD47"/>
      </dataBar>
      <extLst>
        <ext xmlns:x14="http://schemas.microsoft.com/office/spreadsheetml/2009/9/main" uri="{B025F937-C7B1-47D3-B67F-A62EFF666E3E}">
          <x14:id>{F42CF393-CDB5-4293-A0BB-A09C272FDA10}</x14:id>
        </ext>
      </extLst>
    </cfRule>
  </conditionalFormatting>
  <conditionalFormatting sqref="D4:U23">
    <cfRule type="expression" priority="3" aboveAverage="0" equalAverage="0" bottom="0" percent="0" rank="0" text="" dxfId="3">
      <formula>AND(ISNUMBER(D4),D4&gt;160)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2CF393-CDB5-4293-A0BB-A09C272FDA10}">
            <x14:dataBar minLength="10" maxLength="90" axisPosition="none" gradient="true">
              <x14:cfvo type="num">
                <xm:f>0</xm:f>
              </x14:cfvo>
              <x14:cfvo type="max"/>
              <x14:negativeFillColor rgb="FF70AD47"/>
              <x14:axisColor rgb="FF000000"/>
            </x14:dataBar>
          </x14:cfRule>
          <xm:sqref>C4:C23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7" min="5" style="0" width="12"/>
  </cols>
  <sheetData>
    <row r="1" customFormat="false" ht="30" hidden="false" customHeight="true" outlineLevel="0" collapsed="false">
      <c r="A1" s="68" t="s">
        <v>54</v>
      </c>
      <c r="B1" s="68"/>
      <c r="C1" s="68"/>
      <c r="D1" s="68"/>
      <c r="E1" s="68"/>
      <c r="F1" s="68"/>
      <c r="G1" s="68"/>
    </row>
    <row r="3" customFormat="false" ht="24" hidden="false" customHeight="true" outlineLevel="0" collapsed="false">
      <c r="A3" s="69" t="s">
        <v>3</v>
      </c>
      <c r="B3" s="69" t="s">
        <v>55</v>
      </c>
      <c r="C3" s="69" t="s">
        <v>6</v>
      </c>
      <c r="D3" s="69" t="s">
        <v>12</v>
      </c>
      <c r="E3" s="69" t="s">
        <v>56</v>
      </c>
      <c r="F3" s="69" t="s">
        <v>57</v>
      </c>
      <c r="G3" s="69" t="s">
        <v>58</v>
      </c>
    </row>
    <row r="4" customFormat="false" ht="15" hidden="false" customHeight="false" outlineLevel="0" collapsed="false">
      <c r="A4" s="61" t="s">
        <v>15</v>
      </c>
      <c r="B4" s="62" t="s">
        <v>59</v>
      </c>
      <c r="C4" s="70" t="s">
        <v>18</v>
      </c>
      <c r="D4" s="63" t="n">
        <f aca="false">IF($A4="","",COUNTIF(Gantt!$B$4:$B$33,$A4))</f>
        <v>3</v>
      </c>
      <c r="E4" s="63" t="n">
        <f aca="false">IF($A4="","",SUMIF(Gantt!$B$4:$B$33,$A4,Gantt!$G$4:$G$33))</f>
        <v>640</v>
      </c>
      <c r="F4" s="63" t="n">
        <f aca="false">IF($A4="","",SUMIFS(Gantt!$G$4:$G$33,Gantt!$B$4:$B$33,$A4,Gantt!$E$4:$E$33,"Réalisé"))</f>
        <v>0</v>
      </c>
      <c r="G4" s="71" t="n">
        <f aca="false">IF(OR($A4="",N(E4)=0),"",F4/E4)</f>
        <v>0</v>
      </c>
    </row>
    <row r="5" customFormat="false" ht="15" hidden="false" customHeight="false" outlineLevel="0" collapsed="false">
      <c r="A5" s="61" t="s">
        <v>23</v>
      </c>
      <c r="B5" s="62" t="s">
        <v>43</v>
      </c>
      <c r="C5" s="70" t="s">
        <v>18</v>
      </c>
      <c r="D5" s="72" t="n">
        <f aca="false">IF($A5="","",COUNTIF(Gantt!$B$4:$B$33,$A5))</f>
        <v>2</v>
      </c>
      <c r="E5" s="72" t="n">
        <f aca="false">IF($A5="","",SUMIF(Gantt!$B$4:$B$33,$A5,Gantt!$G$4:$G$33))</f>
        <v>980</v>
      </c>
      <c r="F5" s="72" t="n">
        <f aca="false">IF($A5="","",SUMIFS(Gantt!$G$4:$G$33,Gantt!$B$4:$B$33,$A5,Gantt!$E$4:$E$33,"Réalisé"))</f>
        <v>0</v>
      </c>
      <c r="G5" s="73" t="n">
        <f aca="false">IF(OR($A5="",N(E5)=0),"",F5/E5)</f>
        <v>0</v>
      </c>
    </row>
    <row r="6" customFormat="false" ht="15" hidden="false" customHeight="false" outlineLevel="0" collapsed="false">
      <c r="A6" s="61"/>
      <c r="B6" s="62"/>
      <c r="C6" s="70"/>
      <c r="D6" s="63" t="str">
        <f aca="false">IF($A6="","",COUNTIF(Gantt!$B$4:$B$33,$A6))</f>
        <v/>
      </c>
      <c r="E6" s="63" t="str">
        <f aca="false">IF($A6="","",SUMIF(Gantt!$B$4:$B$33,$A6,Gantt!$G$4:$G$33))</f>
        <v/>
      </c>
      <c r="F6" s="63" t="str">
        <f aca="false">IF($A6="","",SUMIFS(Gantt!$G$4:$G$33,Gantt!$B$4:$B$33,$A6,Gantt!$E$4:$E$33,"Réalisé"))</f>
        <v/>
      </c>
      <c r="G6" s="71" t="str">
        <f aca="false">IF(OR($A6="",N(E6)=0),"",F6/E6)</f>
        <v/>
      </c>
    </row>
    <row r="7" customFormat="false" ht="15" hidden="false" customHeight="false" outlineLevel="0" collapsed="false">
      <c r="A7" s="61"/>
      <c r="B7" s="62"/>
      <c r="C7" s="70"/>
      <c r="D7" s="72" t="str">
        <f aca="false">IF($A7="","",COUNTIF(Gantt!$B$4:$B$33,$A7))</f>
        <v/>
      </c>
      <c r="E7" s="72" t="str">
        <f aca="false">IF($A7="","",SUMIF(Gantt!$B$4:$B$33,$A7,Gantt!$G$4:$G$33))</f>
        <v/>
      </c>
      <c r="F7" s="72" t="str">
        <f aca="false">IF($A7="","",SUMIFS(Gantt!$G$4:$G$33,Gantt!$B$4:$B$33,$A7,Gantt!$E$4:$E$33,"Réalisé"))</f>
        <v/>
      </c>
      <c r="G7" s="73" t="str">
        <f aca="false">IF(OR($A7="",N(E7)=0),"",F7/E7)</f>
        <v/>
      </c>
    </row>
    <row r="8" customFormat="false" ht="15" hidden="false" customHeight="false" outlineLevel="0" collapsed="false">
      <c r="A8" s="61"/>
      <c r="B8" s="62"/>
      <c r="C8" s="70"/>
      <c r="D8" s="63" t="str">
        <f aca="false">IF($A8="","",COUNTIF(Gantt!$B$4:$B$33,$A8))</f>
        <v/>
      </c>
      <c r="E8" s="63" t="str">
        <f aca="false">IF($A8="","",SUMIF(Gantt!$B$4:$B$33,$A8,Gantt!$G$4:$G$33))</f>
        <v/>
      </c>
      <c r="F8" s="63" t="str">
        <f aca="false">IF($A8="","",SUMIFS(Gantt!$G$4:$G$33,Gantt!$B$4:$B$33,$A8,Gantt!$E$4:$E$33,"Réalisé"))</f>
        <v/>
      </c>
      <c r="G8" s="71" t="str">
        <f aca="false">IF(OR($A8="",N(E8)=0),"",F8/E8)</f>
        <v/>
      </c>
    </row>
    <row r="9" customFormat="false" ht="15" hidden="false" customHeight="false" outlineLevel="0" collapsed="false">
      <c r="A9" s="61"/>
      <c r="B9" s="62"/>
      <c r="C9" s="70"/>
      <c r="D9" s="72" t="str">
        <f aca="false">IF($A9="","",COUNTIF(Gantt!$B$4:$B$33,$A9))</f>
        <v/>
      </c>
      <c r="E9" s="72" t="str">
        <f aca="false">IF($A9="","",SUMIF(Gantt!$B$4:$B$33,$A9,Gantt!$G$4:$G$33))</f>
        <v/>
      </c>
      <c r="F9" s="72" t="str">
        <f aca="false">IF($A9="","",SUMIFS(Gantt!$G$4:$G$33,Gantt!$B$4:$B$33,$A9,Gantt!$E$4:$E$33,"Réalisé"))</f>
        <v/>
      </c>
      <c r="G9" s="73" t="str">
        <f aca="false">IF(OR($A9="",N(E9)=0),"",F9/E9)</f>
        <v/>
      </c>
    </row>
    <row r="10" customFormat="false" ht="15" hidden="false" customHeight="false" outlineLevel="0" collapsed="false">
      <c r="A10" s="61"/>
      <c r="B10" s="62"/>
      <c r="C10" s="70"/>
      <c r="D10" s="63" t="str">
        <f aca="false">IF($A10="","",COUNTIF(Gantt!$B$4:$B$33,$A10))</f>
        <v/>
      </c>
      <c r="E10" s="63" t="str">
        <f aca="false">IF($A10="","",SUMIF(Gantt!$B$4:$B$33,$A10,Gantt!$G$4:$G$33))</f>
        <v/>
      </c>
      <c r="F10" s="63" t="str">
        <f aca="false">IF($A10="","",SUMIFS(Gantt!$G$4:$G$33,Gantt!$B$4:$B$33,$A10,Gantt!$E$4:$E$33,"Réalisé"))</f>
        <v/>
      </c>
      <c r="G10" s="71" t="str">
        <f aca="false">IF(OR($A10="",N(E10)=0),"",F10/E10)</f>
        <v/>
      </c>
    </row>
    <row r="11" customFormat="false" ht="15" hidden="false" customHeight="false" outlineLevel="0" collapsed="false">
      <c r="A11" s="61"/>
      <c r="B11" s="62"/>
      <c r="C11" s="70"/>
      <c r="D11" s="72" t="str">
        <f aca="false">IF($A11="","",COUNTIF(Gantt!$B$4:$B$33,$A11))</f>
        <v/>
      </c>
      <c r="E11" s="72" t="str">
        <f aca="false">IF($A11="","",SUMIF(Gantt!$B$4:$B$33,$A11,Gantt!$G$4:$G$33))</f>
        <v/>
      </c>
      <c r="F11" s="72" t="str">
        <f aca="false">IF($A11="","",SUMIFS(Gantt!$G$4:$G$33,Gantt!$B$4:$B$33,$A11,Gantt!$E$4:$E$33,"Réalisé"))</f>
        <v/>
      </c>
      <c r="G11" s="73" t="str">
        <f aca="false">IF(OR($A11="",N(E11)=0),"",F11/E11)</f>
        <v/>
      </c>
    </row>
    <row r="12" customFormat="false" ht="15" hidden="false" customHeight="false" outlineLevel="0" collapsed="false">
      <c r="A12" s="61"/>
      <c r="B12" s="62"/>
      <c r="C12" s="70"/>
      <c r="D12" s="63" t="str">
        <f aca="false">IF($A12="","",COUNTIF(Gantt!$B$4:$B$33,$A12))</f>
        <v/>
      </c>
      <c r="E12" s="63" t="str">
        <f aca="false">IF($A12="","",SUMIF(Gantt!$B$4:$B$33,$A12,Gantt!$G$4:$G$33))</f>
        <v/>
      </c>
      <c r="F12" s="63" t="str">
        <f aca="false">IF($A12="","",SUMIFS(Gantt!$G$4:$G$33,Gantt!$B$4:$B$33,$A12,Gantt!$E$4:$E$33,"Réalisé"))</f>
        <v/>
      </c>
      <c r="G12" s="71" t="str">
        <f aca="false">IF(OR($A12="",N(E12)=0),"",F12/E12)</f>
        <v/>
      </c>
    </row>
    <row r="13" customFormat="false" ht="15" hidden="false" customHeight="false" outlineLevel="0" collapsed="false">
      <c r="A13" s="61"/>
      <c r="B13" s="62"/>
      <c r="C13" s="70"/>
      <c r="D13" s="72" t="str">
        <f aca="false">IF($A13="","",COUNTIF(Gantt!$B$4:$B$33,$A13))</f>
        <v/>
      </c>
      <c r="E13" s="72" t="str">
        <f aca="false">IF($A13="","",SUMIF(Gantt!$B$4:$B$33,$A13,Gantt!$G$4:$G$33))</f>
        <v/>
      </c>
      <c r="F13" s="72" t="str">
        <f aca="false">IF($A13="","",SUMIFS(Gantt!$G$4:$G$33,Gantt!$B$4:$B$33,$A13,Gantt!$E$4:$E$33,"Réalisé"))</f>
        <v/>
      </c>
      <c r="G13" s="73" t="str">
        <f aca="false">IF(OR($A13="",N(E13)=0),"",F13/E13)</f>
        <v/>
      </c>
    </row>
    <row r="14" customFormat="false" ht="15" hidden="false" customHeight="false" outlineLevel="0" collapsed="false">
      <c r="A14" s="61"/>
      <c r="B14" s="62"/>
      <c r="C14" s="70"/>
      <c r="D14" s="63" t="str">
        <f aca="false">IF($A14="","",COUNTIF(Gantt!$B$4:$B$33,$A14))</f>
        <v/>
      </c>
      <c r="E14" s="63" t="str">
        <f aca="false">IF($A14="","",SUMIF(Gantt!$B$4:$B$33,$A14,Gantt!$G$4:$G$33))</f>
        <v/>
      </c>
      <c r="F14" s="63" t="str">
        <f aca="false">IF($A14="","",SUMIFS(Gantt!$G$4:$G$33,Gantt!$B$4:$B$33,$A14,Gantt!$E$4:$E$33,"Réalisé"))</f>
        <v/>
      </c>
      <c r="G14" s="71" t="str">
        <f aca="false">IF(OR($A14="",N(E14)=0),"",F14/E14)</f>
        <v/>
      </c>
    </row>
    <row r="15" customFormat="false" ht="15" hidden="false" customHeight="false" outlineLevel="0" collapsed="false">
      <c r="A15" s="61"/>
      <c r="B15" s="62"/>
      <c r="C15" s="70"/>
      <c r="D15" s="72" t="str">
        <f aca="false">IF($A15="","",COUNTIF(Gantt!$B$4:$B$33,$A15))</f>
        <v/>
      </c>
      <c r="E15" s="72" t="str">
        <f aca="false">IF($A15="","",SUMIF(Gantt!$B$4:$B$33,$A15,Gantt!$G$4:$G$33))</f>
        <v/>
      </c>
      <c r="F15" s="72" t="str">
        <f aca="false">IF($A15="","",SUMIFS(Gantt!$G$4:$G$33,Gantt!$B$4:$B$33,$A15,Gantt!$E$4:$E$33,"Réalisé"))</f>
        <v/>
      </c>
      <c r="G15" s="73" t="str">
        <f aca="false">IF(OR($A15="",N(E15)=0),"",F15/E15)</f>
        <v/>
      </c>
    </row>
    <row r="16" customFormat="false" ht="15" hidden="false" customHeight="false" outlineLevel="0" collapsed="false">
      <c r="A16" s="61"/>
      <c r="B16" s="62"/>
      <c r="C16" s="70"/>
      <c r="D16" s="63" t="str">
        <f aca="false">IF($A16="","",COUNTIF(Gantt!$B$4:$B$33,$A16))</f>
        <v/>
      </c>
      <c r="E16" s="63" t="str">
        <f aca="false">IF($A16="","",SUMIF(Gantt!$B$4:$B$33,$A16,Gantt!$G$4:$G$33))</f>
        <v/>
      </c>
      <c r="F16" s="63" t="str">
        <f aca="false">IF($A16="","",SUMIFS(Gantt!$G$4:$G$33,Gantt!$B$4:$B$33,$A16,Gantt!$E$4:$E$33,"Réalisé"))</f>
        <v/>
      </c>
      <c r="G16" s="71" t="str">
        <f aca="false">IF(OR($A16="",N(E16)=0),"",F16/E16)</f>
        <v/>
      </c>
    </row>
    <row r="17" customFormat="false" ht="15" hidden="false" customHeight="false" outlineLevel="0" collapsed="false">
      <c r="A17" s="61"/>
      <c r="B17" s="62"/>
      <c r="C17" s="70"/>
      <c r="D17" s="72" t="str">
        <f aca="false">IF($A17="","",COUNTIF(Gantt!$B$4:$B$33,$A17))</f>
        <v/>
      </c>
      <c r="E17" s="72" t="str">
        <f aca="false">IF($A17="","",SUMIF(Gantt!$B$4:$B$33,$A17,Gantt!$G$4:$G$33))</f>
        <v/>
      </c>
      <c r="F17" s="72" t="str">
        <f aca="false">IF($A17="","",SUMIFS(Gantt!$G$4:$G$33,Gantt!$B$4:$B$33,$A17,Gantt!$E$4:$E$33,"Réalisé"))</f>
        <v/>
      </c>
      <c r="G17" s="73" t="str">
        <f aca="false">IF(OR($A17="",N(E17)=0),"",F17/E17)</f>
        <v/>
      </c>
    </row>
    <row r="18" customFormat="false" ht="15" hidden="false" customHeight="false" outlineLevel="0" collapsed="false">
      <c r="A18" s="61"/>
      <c r="B18" s="62"/>
      <c r="C18" s="70"/>
      <c r="D18" s="63" t="str">
        <f aca="false">IF($A18="","",COUNTIF(Gantt!$B$4:$B$33,$A18))</f>
        <v/>
      </c>
      <c r="E18" s="63" t="str">
        <f aca="false">IF($A18="","",SUMIF(Gantt!$B$4:$B$33,$A18,Gantt!$G$4:$G$33))</f>
        <v/>
      </c>
      <c r="F18" s="63" t="str">
        <f aca="false">IF($A18="","",SUMIFS(Gantt!$G$4:$G$33,Gantt!$B$4:$B$33,$A18,Gantt!$E$4:$E$33,"Réalisé"))</f>
        <v/>
      </c>
      <c r="G18" s="71" t="str">
        <f aca="false">IF(OR($A18="",N(E18)=0),"",F18/E18)</f>
        <v/>
      </c>
    </row>
    <row r="19" customFormat="false" ht="15" hidden="false" customHeight="false" outlineLevel="0" collapsed="false">
      <c r="A19" s="74" t="s">
        <v>32</v>
      </c>
      <c r="B19" s="74"/>
      <c r="C19" s="75"/>
      <c r="D19" s="75" t="n">
        <f aca="false">SUM(D4:D18)</f>
        <v>5</v>
      </c>
      <c r="E19" s="75" t="n">
        <f aca="false">SUM(E4:E18)</f>
        <v>1620</v>
      </c>
      <c r="F19" s="75" t="n">
        <f aca="false">SUM(F4:F18)</f>
        <v>0</v>
      </c>
      <c r="G19" s="75"/>
    </row>
    <row r="20" customFormat="false" ht="15" hidden="false" customHeight="false" outlineLevel="0" collapsed="false">
      <c r="A20" s="67" t="s">
        <v>60</v>
      </c>
      <c r="B20" s="67"/>
      <c r="C20" s="76"/>
      <c r="D20" s="76"/>
      <c r="E20" s="76" t="n">
        <f aca="false">SUMIF(Gantt!$B$4:$B$33,"",Gantt!$G$4:$G$33)</f>
        <v>0</v>
      </c>
      <c r="F20" s="76"/>
      <c r="G20" s="76"/>
    </row>
    <row r="22" customFormat="false" ht="15" hidden="false" customHeight="false" outlineLevel="0" collapsed="false">
      <c r="A22" s="2" t="s">
        <v>61</v>
      </c>
    </row>
  </sheetData>
  <mergeCells count="1">
    <mergeCell ref="A1:G1"/>
  </mergeCells>
  <conditionalFormatting sqref="C4">
    <cfRule type="expression" priority="2" aboveAverage="0" equalAverage="0" bottom="0" percent="0" rank="0" text="" dxfId="0">
      <formula>$C4="Non commencé"</formula>
    </cfRule>
    <cfRule type="expression" priority="3" aboveAverage="0" equalAverage="0" bottom="0" percent="0" rank="0" text="" dxfId="1">
      <formula>$C4="En cours"</formula>
    </cfRule>
    <cfRule type="expression" priority="4" aboveAverage="0" equalAverage="0" bottom="0" percent="0" rank="0" text="" dxfId="2">
      <formula>$C4="Réalisé"</formula>
    </cfRule>
  </conditionalFormatting>
  <conditionalFormatting sqref="C5">
    <cfRule type="expression" priority="5" aboveAverage="0" equalAverage="0" bottom="0" percent="0" rank="0" text="" dxfId="0">
      <formula>$C5="Non commencé"</formula>
    </cfRule>
    <cfRule type="expression" priority="6" aboveAverage="0" equalAverage="0" bottom="0" percent="0" rank="0" text="" dxfId="1">
      <formula>$C5="En cours"</formula>
    </cfRule>
    <cfRule type="expression" priority="7" aboveAverage="0" equalAverage="0" bottom="0" percent="0" rank="0" text="" dxfId="2">
      <formula>$C5="Réalisé"</formula>
    </cfRule>
  </conditionalFormatting>
  <conditionalFormatting sqref="C6">
    <cfRule type="expression" priority="8" aboveAverage="0" equalAverage="0" bottom="0" percent="0" rank="0" text="" dxfId="0">
      <formula>$C6="Non commencé"</formula>
    </cfRule>
    <cfRule type="expression" priority="9" aboveAverage="0" equalAverage="0" bottom="0" percent="0" rank="0" text="" dxfId="1">
      <formula>$C6="En cours"</formula>
    </cfRule>
    <cfRule type="expression" priority="10" aboveAverage="0" equalAverage="0" bottom="0" percent="0" rank="0" text="" dxfId="2">
      <formula>$C6="Réalisé"</formula>
    </cfRule>
  </conditionalFormatting>
  <conditionalFormatting sqref="C7">
    <cfRule type="expression" priority="11" aboveAverage="0" equalAverage="0" bottom="0" percent="0" rank="0" text="" dxfId="0">
      <formula>$C7="Non commencé"</formula>
    </cfRule>
    <cfRule type="expression" priority="12" aboveAverage="0" equalAverage="0" bottom="0" percent="0" rank="0" text="" dxfId="1">
      <formula>$C7="En cours"</formula>
    </cfRule>
    <cfRule type="expression" priority="13" aboveAverage="0" equalAverage="0" bottom="0" percent="0" rank="0" text="" dxfId="2">
      <formula>$C7="Réalisé"</formula>
    </cfRule>
  </conditionalFormatting>
  <conditionalFormatting sqref="C8">
    <cfRule type="expression" priority="14" aboveAverage="0" equalAverage="0" bottom="0" percent="0" rank="0" text="" dxfId="0">
      <formula>$C8="Non commencé"</formula>
    </cfRule>
    <cfRule type="expression" priority="15" aboveAverage="0" equalAverage="0" bottom="0" percent="0" rank="0" text="" dxfId="1">
      <formula>$C8="En cours"</formula>
    </cfRule>
    <cfRule type="expression" priority="16" aboveAverage="0" equalAverage="0" bottom="0" percent="0" rank="0" text="" dxfId="2">
      <formula>$C8="Réalisé"</formula>
    </cfRule>
  </conditionalFormatting>
  <conditionalFormatting sqref="C9">
    <cfRule type="expression" priority="17" aboveAverage="0" equalAverage="0" bottom="0" percent="0" rank="0" text="" dxfId="0">
      <formula>$C9="Non commencé"</formula>
    </cfRule>
    <cfRule type="expression" priority="18" aboveAverage="0" equalAverage="0" bottom="0" percent="0" rank="0" text="" dxfId="1">
      <formula>$C9="En cours"</formula>
    </cfRule>
    <cfRule type="expression" priority="19" aboveAverage="0" equalAverage="0" bottom="0" percent="0" rank="0" text="" dxfId="2">
      <formula>$C9="Réalisé"</formula>
    </cfRule>
  </conditionalFormatting>
  <conditionalFormatting sqref="C10">
    <cfRule type="expression" priority="20" aboveAverage="0" equalAverage="0" bottom="0" percent="0" rank="0" text="" dxfId="0">
      <formula>$C10="Non commencé"</formula>
    </cfRule>
    <cfRule type="expression" priority="21" aboveAverage="0" equalAverage="0" bottom="0" percent="0" rank="0" text="" dxfId="1">
      <formula>$C10="En cours"</formula>
    </cfRule>
    <cfRule type="expression" priority="22" aboveAverage="0" equalAverage="0" bottom="0" percent="0" rank="0" text="" dxfId="2">
      <formula>$C10="Réalisé"</formula>
    </cfRule>
  </conditionalFormatting>
  <conditionalFormatting sqref="C11">
    <cfRule type="expression" priority="23" aboveAverage="0" equalAverage="0" bottom="0" percent="0" rank="0" text="" dxfId="0">
      <formula>$C11="Non commencé"</formula>
    </cfRule>
    <cfRule type="expression" priority="24" aboveAverage="0" equalAverage="0" bottom="0" percent="0" rank="0" text="" dxfId="1">
      <formula>$C11="En cours"</formula>
    </cfRule>
    <cfRule type="expression" priority="25" aboveAverage="0" equalAverage="0" bottom="0" percent="0" rank="0" text="" dxfId="2">
      <formula>$C11="Réalisé"</formula>
    </cfRule>
  </conditionalFormatting>
  <conditionalFormatting sqref="C12">
    <cfRule type="expression" priority="26" aboveAverage="0" equalAverage="0" bottom="0" percent="0" rank="0" text="" dxfId="0">
      <formula>$C12="Non commencé"</formula>
    </cfRule>
    <cfRule type="expression" priority="27" aboveAverage="0" equalAverage="0" bottom="0" percent="0" rank="0" text="" dxfId="1">
      <formula>$C12="En cours"</formula>
    </cfRule>
    <cfRule type="expression" priority="28" aboveAverage="0" equalAverage="0" bottom="0" percent="0" rank="0" text="" dxfId="2">
      <formula>$C12="Réalisé"</formula>
    </cfRule>
  </conditionalFormatting>
  <conditionalFormatting sqref="C13">
    <cfRule type="expression" priority="29" aboveAverage="0" equalAverage="0" bottom="0" percent="0" rank="0" text="" dxfId="0">
      <formula>$C13="Non commencé"</formula>
    </cfRule>
    <cfRule type="expression" priority="30" aboveAverage="0" equalAverage="0" bottom="0" percent="0" rank="0" text="" dxfId="1">
      <formula>$C13="En cours"</formula>
    </cfRule>
    <cfRule type="expression" priority="31" aboveAverage="0" equalAverage="0" bottom="0" percent="0" rank="0" text="" dxfId="2">
      <formula>$C13="Réalisé"</formula>
    </cfRule>
  </conditionalFormatting>
  <conditionalFormatting sqref="C14">
    <cfRule type="expression" priority="32" aboveAverage="0" equalAverage="0" bottom="0" percent="0" rank="0" text="" dxfId="0">
      <formula>$C14="Non commencé"</formula>
    </cfRule>
    <cfRule type="expression" priority="33" aboveAverage="0" equalAverage="0" bottom="0" percent="0" rank="0" text="" dxfId="1">
      <formula>$C14="En cours"</formula>
    </cfRule>
    <cfRule type="expression" priority="34" aboveAverage="0" equalAverage="0" bottom="0" percent="0" rank="0" text="" dxfId="2">
      <formula>$C14="Réalisé"</formula>
    </cfRule>
  </conditionalFormatting>
  <conditionalFormatting sqref="C15">
    <cfRule type="expression" priority="35" aboveAverage="0" equalAverage="0" bottom="0" percent="0" rank="0" text="" dxfId="0">
      <formula>$C15="Non commencé"</formula>
    </cfRule>
    <cfRule type="expression" priority="36" aboveAverage="0" equalAverage="0" bottom="0" percent="0" rank="0" text="" dxfId="1">
      <formula>$C15="En cours"</formula>
    </cfRule>
    <cfRule type="expression" priority="37" aboveAverage="0" equalAverage="0" bottom="0" percent="0" rank="0" text="" dxfId="2">
      <formula>$C15="Réalisé"</formula>
    </cfRule>
  </conditionalFormatting>
  <conditionalFormatting sqref="C16">
    <cfRule type="expression" priority="38" aboveAverage="0" equalAverage="0" bottom="0" percent="0" rank="0" text="" dxfId="0">
      <formula>$C16="Non commencé"</formula>
    </cfRule>
    <cfRule type="expression" priority="39" aboveAverage="0" equalAverage="0" bottom="0" percent="0" rank="0" text="" dxfId="1">
      <formula>$C16="En cours"</formula>
    </cfRule>
    <cfRule type="expression" priority="40" aboveAverage="0" equalAverage="0" bottom="0" percent="0" rank="0" text="" dxfId="2">
      <formula>$C16="Réalisé"</formula>
    </cfRule>
  </conditionalFormatting>
  <conditionalFormatting sqref="C17">
    <cfRule type="expression" priority="41" aboveAverage="0" equalAverage="0" bottom="0" percent="0" rank="0" text="" dxfId="0">
      <formula>$C17="Non commencé"</formula>
    </cfRule>
    <cfRule type="expression" priority="42" aboveAverage="0" equalAverage="0" bottom="0" percent="0" rank="0" text="" dxfId="1">
      <formula>$C17="En cours"</formula>
    </cfRule>
    <cfRule type="expression" priority="43" aboveAverage="0" equalAverage="0" bottom="0" percent="0" rank="0" text="" dxfId="2">
      <formula>$C17="Réalisé"</formula>
    </cfRule>
  </conditionalFormatting>
  <conditionalFormatting sqref="C18">
    <cfRule type="expression" priority="44" aboveAverage="0" equalAverage="0" bottom="0" percent="0" rank="0" text="" dxfId="0">
      <formula>$C18="Non commencé"</formula>
    </cfRule>
    <cfRule type="expression" priority="45" aboveAverage="0" equalAverage="0" bottom="0" percent="0" rank="0" text="" dxfId="1">
      <formula>$C18="En cours"</formula>
    </cfRule>
    <cfRule type="expression" priority="46" aboveAverage="0" equalAverage="0" bottom="0" percent="0" rank="0" text="" dxfId="2">
      <formula>$C18="Réalisé"</formula>
    </cfRule>
  </conditionalFormatting>
  <conditionalFormatting sqref="E4:E18">
    <cfRule type="dataBar" priority="47">
      <dataBar showValue="1" minLength="10" maxLength="90">
        <cfvo type="num" val="0"/>
        <cfvo type="max" val="0"/>
        <color rgb="FF2E75B6"/>
      </dataBar>
      <extLst>
        <ext xmlns:x14="http://schemas.microsoft.com/office/spreadsheetml/2009/9/main" uri="{B025F937-C7B1-47D3-B67F-A62EFF666E3E}">
          <x14:id>{108D741D-A874-4246-875A-D0558A61E6B8}</x14:id>
        </ext>
      </extLst>
    </cfRule>
  </conditionalFormatting>
  <dataValidations count="1">
    <dataValidation allowBlank="true" errorStyle="stop" operator="between" showDropDown="false" showErrorMessage="false" showInputMessage="false" sqref="C4:C18" type="list">
      <formula1>"Non commencé,En cours,Réalisé"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8D741D-A874-4246-875A-D0558A61E6B8}">
            <x14:dataBar minLength="10" maxLength="90" axisPosition="none" gradient="true">
              <x14:cfvo type="num">
                <xm:f>0</xm:f>
              </x14:cfvo>
              <x14:cfvo type="max"/>
              <x14:negativeFillColor rgb="FF2E75B6"/>
              <x14:axisColor rgb="FF000000"/>
            </x14:dataBar>
          </x14:cfRule>
          <xm:sqref>E4:E18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7" min="6" style="0" width="12"/>
  </cols>
  <sheetData>
    <row r="1" customFormat="false" ht="30" hidden="false" customHeight="true" outlineLevel="0" collapsed="false">
      <c r="A1" s="77" t="s">
        <v>62</v>
      </c>
      <c r="B1" s="77"/>
      <c r="C1" s="77"/>
      <c r="D1" s="77"/>
      <c r="E1" s="77"/>
      <c r="F1" s="77"/>
      <c r="G1" s="77"/>
    </row>
    <row r="3" customFormat="false" ht="24" hidden="false" customHeight="true" outlineLevel="0" collapsed="false">
      <c r="A3" s="78" t="s">
        <v>63</v>
      </c>
      <c r="B3" s="78" t="s">
        <v>64</v>
      </c>
      <c r="C3" s="78" t="s">
        <v>65</v>
      </c>
      <c r="D3" s="78" t="s">
        <v>66</v>
      </c>
      <c r="E3" s="78" t="s">
        <v>67</v>
      </c>
      <c r="F3" s="78" t="s">
        <v>68</v>
      </c>
      <c r="G3" s="78" t="s">
        <v>69</v>
      </c>
    </row>
    <row r="4" customFormat="false" ht="15" hidden="false" customHeight="false" outlineLevel="0" collapsed="false">
      <c r="A4" s="61" t="s">
        <v>40</v>
      </c>
      <c r="B4" s="62" t="s">
        <v>70</v>
      </c>
      <c r="C4" s="70" t="s">
        <v>71</v>
      </c>
      <c r="D4" s="70" t="n">
        <v>600</v>
      </c>
      <c r="E4" s="63" t="n">
        <f aca="false">IF($A4="","",SUMIF(Répartition!$B$4:$B$103,$A4,Répartition!$C$4:$C$103))</f>
        <v>320</v>
      </c>
      <c r="F4" s="63" t="n">
        <f aca="false">IF($A4="","",D4-E4)</f>
        <v>280</v>
      </c>
      <c r="G4" s="71" t="n">
        <f aca="false">IF(OR($A4="",N(D4)=0),"",E4/D4)</f>
        <v>0.533333333333333</v>
      </c>
    </row>
    <row r="5" customFormat="false" ht="15" hidden="false" customHeight="false" outlineLevel="0" collapsed="false">
      <c r="A5" s="61" t="s">
        <v>43</v>
      </c>
      <c r="B5" s="62" t="s">
        <v>70</v>
      </c>
      <c r="C5" s="70" t="s">
        <v>72</v>
      </c>
      <c r="D5" s="70" t="n">
        <v>900</v>
      </c>
      <c r="E5" s="79" t="n">
        <f aca="false">IF($A5="","",SUMIF(Répartition!$B$4:$B$103,$A5,Répartition!$C$4:$C$103))</f>
        <v>1020</v>
      </c>
      <c r="F5" s="79" t="n">
        <f aca="false">IF($A5="","",D5-E5)</f>
        <v>-120</v>
      </c>
      <c r="G5" s="80" t="n">
        <f aca="false">IF(OR($A5="",N(D5)=0),"",E5/D5)</f>
        <v>1.13333333333333</v>
      </c>
    </row>
    <row r="6" customFormat="false" ht="15" hidden="false" customHeight="false" outlineLevel="0" collapsed="false">
      <c r="A6" s="61" t="s">
        <v>73</v>
      </c>
      <c r="B6" s="62" t="s">
        <v>74</v>
      </c>
      <c r="C6" s="70" t="s">
        <v>75</v>
      </c>
      <c r="D6" s="70" t="n">
        <v>300</v>
      </c>
      <c r="E6" s="63" t="n">
        <f aca="false">IF($A6="","",SUMIF(Répartition!$B$4:$B$103,$A6,Répartition!$C$4:$C$103))</f>
        <v>180</v>
      </c>
      <c r="F6" s="63" t="n">
        <f aca="false">IF($A6="","",D6-E6)</f>
        <v>120</v>
      </c>
      <c r="G6" s="71" t="n">
        <f aca="false">IF(OR($A6="",N(D6)=0),"",E6/D6)</f>
        <v>0.6</v>
      </c>
    </row>
    <row r="7" customFormat="false" ht="15" hidden="false" customHeight="false" outlineLevel="0" collapsed="false">
      <c r="A7" s="61" t="s">
        <v>76</v>
      </c>
      <c r="B7" s="62" t="s">
        <v>77</v>
      </c>
      <c r="C7" s="70" t="s">
        <v>78</v>
      </c>
      <c r="D7" s="70" t="n">
        <v>400</v>
      </c>
      <c r="E7" s="79" t="n">
        <f aca="false">IF($A7="","",SUMIF(Répartition!$B$4:$B$103,$A7,Répartition!$C$4:$C$103))</f>
        <v>100</v>
      </c>
      <c r="F7" s="79" t="n">
        <f aca="false">IF($A7="","",D7-E7)</f>
        <v>300</v>
      </c>
      <c r="G7" s="80" t="n">
        <f aca="false">IF(OR($A7="",N(D7)=0),"",E7/D7)</f>
        <v>0.25</v>
      </c>
    </row>
    <row r="8" customFormat="false" ht="15" hidden="false" customHeight="false" outlineLevel="0" collapsed="false">
      <c r="A8" s="61"/>
      <c r="B8" s="62"/>
      <c r="C8" s="70"/>
      <c r="D8" s="70"/>
      <c r="E8" s="63" t="str">
        <f aca="false">IF($A8="","",SUMIF(Répartition!$B$4:$B$103,$A8,Répartition!$C$4:$C$103))</f>
        <v/>
      </c>
      <c r="F8" s="56" t="str">
        <f aca="false">IF($A8="","",D8-E8)</f>
        <v/>
      </c>
      <c r="G8" s="71" t="str">
        <f aca="false">IF(OR($A8="",N(D8)=0),"",E8/D8)</f>
        <v/>
      </c>
    </row>
    <row r="9" customFormat="false" ht="15" hidden="false" customHeight="false" outlineLevel="0" collapsed="false">
      <c r="A9" s="61"/>
      <c r="B9" s="62"/>
      <c r="C9" s="70"/>
      <c r="D9" s="70"/>
      <c r="E9" s="79" t="str">
        <f aca="false">IF($A9="","",SUMIF(Répartition!$B$4:$B$103,$A9,Répartition!$C$4:$C$103))</f>
        <v/>
      </c>
      <c r="F9" s="81" t="str">
        <f aca="false">IF($A9="","",D9-E9)</f>
        <v/>
      </c>
      <c r="G9" s="80" t="str">
        <f aca="false">IF(OR($A9="",N(D9)=0),"",E9/D9)</f>
        <v/>
      </c>
    </row>
    <row r="10" customFormat="false" ht="15" hidden="false" customHeight="false" outlineLevel="0" collapsed="false">
      <c r="A10" s="61"/>
      <c r="B10" s="62"/>
      <c r="C10" s="70"/>
      <c r="D10" s="70"/>
      <c r="E10" s="63" t="str">
        <f aca="false">IF($A10="","",SUMIF(Répartition!$B$4:$B$103,$A10,Répartition!$C$4:$C$103))</f>
        <v/>
      </c>
      <c r="F10" s="56" t="str">
        <f aca="false">IF($A10="","",D10-E10)</f>
        <v/>
      </c>
      <c r="G10" s="71" t="str">
        <f aca="false">IF(OR($A10="",N(D10)=0),"",E10/D10)</f>
        <v/>
      </c>
    </row>
    <row r="11" customFormat="false" ht="15" hidden="false" customHeight="false" outlineLevel="0" collapsed="false">
      <c r="A11" s="61"/>
      <c r="B11" s="62"/>
      <c r="C11" s="70"/>
      <c r="D11" s="70"/>
      <c r="E11" s="79" t="str">
        <f aca="false">IF($A11="","",SUMIF(Répartition!$B$4:$B$103,$A11,Répartition!$C$4:$C$103))</f>
        <v/>
      </c>
      <c r="F11" s="81" t="str">
        <f aca="false">IF($A11="","",D11-E11)</f>
        <v/>
      </c>
      <c r="G11" s="80" t="str">
        <f aca="false">IF(OR($A11="",N(D11)=0),"",E11/D11)</f>
        <v/>
      </c>
    </row>
    <row r="12" customFormat="false" ht="15" hidden="false" customHeight="false" outlineLevel="0" collapsed="false">
      <c r="A12" s="61"/>
      <c r="B12" s="62"/>
      <c r="C12" s="70"/>
      <c r="D12" s="70"/>
      <c r="E12" s="63" t="str">
        <f aca="false">IF($A12="","",SUMIF(Répartition!$B$4:$B$103,$A12,Répartition!$C$4:$C$103))</f>
        <v/>
      </c>
      <c r="F12" s="56" t="str">
        <f aca="false">IF($A12="","",D12-E12)</f>
        <v/>
      </c>
      <c r="G12" s="71" t="str">
        <f aca="false">IF(OR($A12="",N(D12)=0),"",E12/D12)</f>
        <v/>
      </c>
    </row>
    <row r="13" customFormat="false" ht="15" hidden="false" customHeight="false" outlineLevel="0" collapsed="false">
      <c r="A13" s="61"/>
      <c r="B13" s="62"/>
      <c r="C13" s="70"/>
      <c r="D13" s="70"/>
      <c r="E13" s="79" t="str">
        <f aca="false">IF($A13="","",SUMIF(Répartition!$B$4:$B$103,$A13,Répartition!$C$4:$C$103))</f>
        <v/>
      </c>
      <c r="F13" s="81" t="str">
        <f aca="false">IF($A13="","",D13-E13)</f>
        <v/>
      </c>
      <c r="G13" s="80" t="str">
        <f aca="false">IF(OR($A13="",N(D13)=0),"",E13/D13)</f>
        <v/>
      </c>
    </row>
    <row r="14" customFormat="false" ht="15" hidden="false" customHeight="false" outlineLevel="0" collapsed="false">
      <c r="A14" s="61"/>
      <c r="B14" s="62"/>
      <c r="C14" s="70"/>
      <c r="D14" s="70"/>
      <c r="E14" s="63" t="str">
        <f aca="false">IF($A14="","",SUMIF(Répartition!$B$4:$B$103,$A14,Répartition!$C$4:$C$103))</f>
        <v/>
      </c>
      <c r="F14" s="56" t="str">
        <f aca="false">IF($A14="","",D14-E14)</f>
        <v/>
      </c>
      <c r="G14" s="71" t="str">
        <f aca="false">IF(OR($A14="",N(D14)=0),"",E14/D14)</f>
        <v/>
      </c>
    </row>
    <row r="15" customFormat="false" ht="15" hidden="false" customHeight="false" outlineLevel="0" collapsed="false">
      <c r="A15" s="61"/>
      <c r="B15" s="62"/>
      <c r="C15" s="70"/>
      <c r="D15" s="70"/>
      <c r="E15" s="79" t="str">
        <f aca="false">IF($A15="","",SUMIF(Répartition!$B$4:$B$103,$A15,Répartition!$C$4:$C$103))</f>
        <v/>
      </c>
      <c r="F15" s="81" t="str">
        <f aca="false">IF($A15="","",D15-E15)</f>
        <v/>
      </c>
      <c r="G15" s="80" t="str">
        <f aca="false">IF(OR($A15="",N(D15)=0),"",E15/D15)</f>
        <v/>
      </c>
    </row>
    <row r="16" customFormat="false" ht="15" hidden="false" customHeight="false" outlineLevel="0" collapsed="false">
      <c r="A16" s="61"/>
      <c r="B16" s="62"/>
      <c r="C16" s="70"/>
      <c r="D16" s="70"/>
      <c r="E16" s="63" t="str">
        <f aca="false">IF($A16="","",SUMIF(Répartition!$B$4:$B$103,$A16,Répartition!$C$4:$C$103))</f>
        <v/>
      </c>
      <c r="F16" s="56" t="str">
        <f aca="false">IF($A16="","",D16-E16)</f>
        <v/>
      </c>
      <c r="G16" s="71" t="str">
        <f aca="false">IF(OR($A16="",N(D16)=0),"",E16/D16)</f>
        <v/>
      </c>
    </row>
    <row r="17" customFormat="false" ht="15" hidden="false" customHeight="false" outlineLevel="0" collapsed="false">
      <c r="A17" s="61"/>
      <c r="B17" s="62"/>
      <c r="C17" s="70"/>
      <c r="D17" s="70"/>
      <c r="E17" s="79" t="str">
        <f aca="false">IF($A17="","",SUMIF(Répartition!$B$4:$B$103,$A17,Répartition!$C$4:$C$103))</f>
        <v/>
      </c>
      <c r="F17" s="81" t="str">
        <f aca="false">IF($A17="","",D17-E17)</f>
        <v/>
      </c>
      <c r="G17" s="80" t="str">
        <f aca="false">IF(OR($A17="",N(D17)=0),"",E17/D17)</f>
        <v/>
      </c>
    </row>
    <row r="18" customFormat="false" ht="15" hidden="false" customHeight="false" outlineLevel="0" collapsed="false">
      <c r="A18" s="61"/>
      <c r="B18" s="62"/>
      <c r="C18" s="70"/>
      <c r="D18" s="70"/>
      <c r="E18" s="63" t="str">
        <f aca="false">IF($A18="","",SUMIF(Répartition!$B$4:$B$103,$A18,Répartition!$C$4:$C$103))</f>
        <v/>
      </c>
      <c r="F18" s="56" t="str">
        <f aca="false">IF($A18="","",D18-E18)</f>
        <v/>
      </c>
      <c r="G18" s="71" t="str">
        <f aca="false">IF(OR($A18="",N(D18)=0),"",E18/D18)</f>
        <v/>
      </c>
    </row>
    <row r="19" customFormat="false" ht="15" hidden="false" customHeight="false" outlineLevel="0" collapsed="false">
      <c r="A19" s="82" t="s">
        <v>32</v>
      </c>
      <c r="B19" s="82"/>
      <c r="C19" s="83"/>
      <c r="D19" s="83" t="n">
        <f aca="false">SUM(D4:D18)</f>
        <v>2200</v>
      </c>
      <c r="E19" s="83" t="n">
        <f aca="false">SUM(E4:E18)</f>
        <v>1620</v>
      </c>
      <c r="F19" s="83" t="n">
        <f aca="false">SUM(F4:F18)</f>
        <v>580</v>
      </c>
      <c r="G19" s="83"/>
    </row>
    <row r="20" customFormat="false" ht="15" hidden="false" customHeight="false" outlineLevel="0" collapsed="false">
      <c r="A20" s="84" t="s">
        <v>79</v>
      </c>
      <c r="B20" s="84"/>
      <c r="C20" s="85"/>
      <c r="D20" s="85" t="n">
        <f aca="false">SUMIF($B$4:$B$18,"Confirmé",$D$4:$D$18)</f>
        <v>1500</v>
      </c>
      <c r="E20" s="85" t="n">
        <f aca="false">SUMIF($B$4:$B$18,"Confirmé",$E$4:$E$18)</f>
        <v>1340</v>
      </c>
      <c r="F20" s="85"/>
      <c r="G20" s="85"/>
    </row>
    <row r="21" customFormat="false" ht="15" hidden="false" customHeight="false" outlineLevel="0" collapsed="false">
      <c r="A21" s="84" t="s">
        <v>80</v>
      </c>
      <c r="B21" s="84"/>
      <c r="C21" s="85"/>
      <c r="D21" s="85" t="n">
        <f aca="false">SUMIF($B$4:$B$18,"&lt;&gt;Confirmé",$D$4:$D$18)</f>
        <v>700</v>
      </c>
      <c r="E21" s="85" t="n">
        <f aca="false">SUMIF($B$4:$B$18,"&lt;&gt;Confirmé",$E$4:$E$18)</f>
        <v>280</v>
      </c>
      <c r="F21" s="85"/>
      <c r="G21" s="85"/>
    </row>
    <row r="22" customFormat="false" ht="15" hidden="false" customHeight="false" outlineLevel="0" collapsed="false">
      <c r="A22" s="67" t="s">
        <v>81</v>
      </c>
      <c r="B22" s="67"/>
      <c r="C22" s="76"/>
      <c r="D22" s="76"/>
      <c r="E22" s="76" t="n">
        <f aca="false">SUM(Gantt!$G$4:$G$33)-E19</f>
        <v>0</v>
      </c>
      <c r="F22" s="76"/>
      <c r="G22" s="76"/>
    </row>
    <row r="24" customFormat="false" ht="15" hidden="false" customHeight="false" outlineLevel="0" collapsed="false">
      <c r="A24" s="2" t="s">
        <v>82</v>
      </c>
    </row>
  </sheetData>
  <mergeCells count="1">
    <mergeCell ref="A1:G1"/>
  </mergeCells>
  <conditionalFormatting sqref="B4">
    <cfRule type="expression" priority="2" aboveAverage="0" equalAverage="0" bottom="0" percent="0" rank="0" text="" dxfId="73">
      <formula>$B4="Confirmé"</formula>
    </cfRule>
    <cfRule type="expression" priority="3" aboveAverage="0" equalAverage="0" bottom="0" percent="0" rank="0" text="" dxfId="74">
      <formula>$B4="Pressenti"</formula>
    </cfRule>
    <cfRule type="expression" priority="4" aboveAverage="0" equalAverage="0" bottom="0" percent="0" rank="0" text="" dxfId="0">
      <formula>$B4="Option"</formula>
    </cfRule>
  </conditionalFormatting>
  <conditionalFormatting sqref="F4">
    <cfRule type="expression" priority="5" aboveAverage="0" equalAverage="0" bottom="0" percent="0" rank="0" text="" dxfId="3">
      <formula>AND(ISNUMBER(F4),F4&lt;0)</formula>
    </cfRule>
    <cfRule type="expression" priority="6" aboveAverage="0" equalAverage="0" bottom="0" percent="0" rank="0" text="" dxfId="75">
      <formula>AND(ISNUMBER(F4),F4&gt;=0)</formula>
    </cfRule>
  </conditionalFormatting>
  <conditionalFormatting sqref="B5">
    <cfRule type="expression" priority="7" aboveAverage="0" equalAverage="0" bottom="0" percent="0" rank="0" text="" dxfId="73">
      <formula>$B5="Confirmé"</formula>
    </cfRule>
    <cfRule type="expression" priority="8" aboveAverage="0" equalAverage="0" bottom="0" percent="0" rank="0" text="" dxfId="74">
      <formula>$B5="Pressenti"</formula>
    </cfRule>
    <cfRule type="expression" priority="9" aboveAverage="0" equalAverage="0" bottom="0" percent="0" rank="0" text="" dxfId="0">
      <formula>$B5="Option"</formula>
    </cfRule>
  </conditionalFormatting>
  <conditionalFormatting sqref="F5">
    <cfRule type="expression" priority="10" aboveAverage="0" equalAverage="0" bottom="0" percent="0" rank="0" text="" dxfId="3">
      <formula>AND(ISNUMBER(F5),F5&lt;0)</formula>
    </cfRule>
    <cfRule type="expression" priority="11" aboveAverage="0" equalAverage="0" bottom="0" percent="0" rank="0" text="" dxfId="75">
      <formula>AND(ISNUMBER(F5),F5&gt;=0)</formula>
    </cfRule>
  </conditionalFormatting>
  <conditionalFormatting sqref="B6">
    <cfRule type="expression" priority="12" aboveAverage="0" equalAverage="0" bottom="0" percent="0" rank="0" text="" dxfId="73">
      <formula>$B6="Confirmé"</formula>
    </cfRule>
    <cfRule type="expression" priority="13" aboveAverage="0" equalAverage="0" bottom="0" percent="0" rank="0" text="" dxfId="74">
      <formula>$B6="Pressenti"</formula>
    </cfRule>
    <cfRule type="expression" priority="14" aboveAverage="0" equalAverage="0" bottom="0" percent="0" rank="0" text="" dxfId="0">
      <formula>$B6="Option"</formula>
    </cfRule>
  </conditionalFormatting>
  <conditionalFormatting sqref="F6">
    <cfRule type="expression" priority="15" aboveAverage="0" equalAverage="0" bottom="0" percent="0" rank="0" text="" dxfId="3">
      <formula>AND(ISNUMBER(F6),F6&lt;0)</formula>
    </cfRule>
    <cfRule type="expression" priority="16" aboveAverage="0" equalAverage="0" bottom="0" percent="0" rank="0" text="" dxfId="75">
      <formula>AND(ISNUMBER(F6),F6&gt;=0)</formula>
    </cfRule>
  </conditionalFormatting>
  <conditionalFormatting sqref="B7">
    <cfRule type="expression" priority="17" aboveAverage="0" equalAverage="0" bottom="0" percent="0" rank="0" text="" dxfId="73">
      <formula>$B7="Confirmé"</formula>
    </cfRule>
    <cfRule type="expression" priority="18" aboveAverage="0" equalAverage="0" bottom="0" percent="0" rank="0" text="" dxfId="74">
      <formula>$B7="Pressenti"</formula>
    </cfRule>
    <cfRule type="expression" priority="19" aboveAverage="0" equalAverage="0" bottom="0" percent="0" rank="0" text="" dxfId="0">
      <formula>$B7="Option"</formula>
    </cfRule>
  </conditionalFormatting>
  <conditionalFormatting sqref="F7">
    <cfRule type="expression" priority="20" aboveAverage="0" equalAverage="0" bottom="0" percent="0" rank="0" text="" dxfId="3">
      <formula>AND(ISNUMBER(F7),F7&lt;0)</formula>
    </cfRule>
    <cfRule type="expression" priority="21" aboveAverage="0" equalAverage="0" bottom="0" percent="0" rank="0" text="" dxfId="75">
      <formula>AND(ISNUMBER(F7),F7&gt;=0)</formula>
    </cfRule>
  </conditionalFormatting>
  <conditionalFormatting sqref="B8">
    <cfRule type="expression" priority="22" aboveAverage="0" equalAverage="0" bottom="0" percent="0" rank="0" text="" dxfId="73">
      <formula>$B8="Confirmé"</formula>
    </cfRule>
    <cfRule type="expression" priority="23" aboveAverage="0" equalAverage="0" bottom="0" percent="0" rank="0" text="" dxfId="74">
      <formula>$B8="Pressenti"</formula>
    </cfRule>
    <cfRule type="expression" priority="24" aboveAverage="0" equalAverage="0" bottom="0" percent="0" rank="0" text="" dxfId="0">
      <formula>$B8="Option"</formula>
    </cfRule>
  </conditionalFormatting>
  <conditionalFormatting sqref="F8">
    <cfRule type="expression" priority="25" aboveAverage="0" equalAverage="0" bottom="0" percent="0" rank="0" text="" dxfId="3">
      <formula>AND(ISNUMBER(F8),F8&lt;0)</formula>
    </cfRule>
    <cfRule type="expression" priority="26" aboveAverage="0" equalAverage="0" bottom="0" percent="0" rank="0" text="" dxfId="75">
      <formula>AND(ISNUMBER(F8),F8&gt;=0)</formula>
    </cfRule>
  </conditionalFormatting>
  <conditionalFormatting sqref="B9">
    <cfRule type="expression" priority="27" aboveAverage="0" equalAverage="0" bottom="0" percent="0" rank="0" text="" dxfId="73">
      <formula>$B9="Confirmé"</formula>
    </cfRule>
    <cfRule type="expression" priority="28" aboveAverage="0" equalAverage="0" bottom="0" percent="0" rank="0" text="" dxfId="74">
      <formula>$B9="Pressenti"</formula>
    </cfRule>
    <cfRule type="expression" priority="29" aboveAverage="0" equalAverage="0" bottom="0" percent="0" rank="0" text="" dxfId="0">
      <formula>$B9="Option"</formula>
    </cfRule>
  </conditionalFormatting>
  <conditionalFormatting sqref="F9">
    <cfRule type="expression" priority="30" aboveAverage="0" equalAverage="0" bottom="0" percent="0" rank="0" text="" dxfId="3">
      <formula>AND(ISNUMBER(F9),F9&lt;0)</formula>
    </cfRule>
    <cfRule type="expression" priority="31" aboveAverage="0" equalAverage="0" bottom="0" percent="0" rank="0" text="" dxfId="75">
      <formula>AND(ISNUMBER(F9),F9&gt;=0)</formula>
    </cfRule>
  </conditionalFormatting>
  <conditionalFormatting sqref="B10">
    <cfRule type="expression" priority="32" aboveAverage="0" equalAverage="0" bottom="0" percent="0" rank="0" text="" dxfId="73">
      <formula>$B10="Confirmé"</formula>
    </cfRule>
    <cfRule type="expression" priority="33" aboveAverage="0" equalAverage="0" bottom="0" percent="0" rank="0" text="" dxfId="74">
      <formula>$B10="Pressenti"</formula>
    </cfRule>
    <cfRule type="expression" priority="34" aboveAverage="0" equalAverage="0" bottom="0" percent="0" rank="0" text="" dxfId="0">
      <formula>$B10="Option"</formula>
    </cfRule>
  </conditionalFormatting>
  <conditionalFormatting sqref="F10">
    <cfRule type="expression" priority="35" aboveAverage="0" equalAverage="0" bottom="0" percent="0" rank="0" text="" dxfId="3">
      <formula>AND(ISNUMBER(F10),F10&lt;0)</formula>
    </cfRule>
    <cfRule type="expression" priority="36" aboveAverage="0" equalAverage="0" bottom="0" percent="0" rank="0" text="" dxfId="75">
      <formula>AND(ISNUMBER(F10),F10&gt;=0)</formula>
    </cfRule>
  </conditionalFormatting>
  <conditionalFormatting sqref="B11">
    <cfRule type="expression" priority="37" aboveAverage="0" equalAverage="0" bottom="0" percent="0" rank="0" text="" dxfId="73">
      <formula>$B11="Confirmé"</formula>
    </cfRule>
    <cfRule type="expression" priority="38" aboveAverage="0" equalAverage="0" bottom="0" percent="0" rank="0" text="" dxfId="74">
      <formula>$B11="Pressenti"</formula>
    </cfRule>
    <cfRule type="expression" priority="39" aboveAverage="0" equalAverage="0" bottom="0" percent="0" rank="0" text="" dxfId="0">
      <formula>$B11="Option"</formula>
    </cfRule>
  </conditionalFormatting>
  <conditionalFormatting sqref="F11">
    <cfRule type="expression" priority="40" aboveAverage="0" equalAverage="0" bottom="0" percent="0" rank="0" text="" dxfId="3">
      <formula>AND(ISNUMBER(F11),F11&lt;0)</formula>
    </cfRule>
    <cfRule type="expression" priority="41" aboveAverage="0" equalAverage="0" bottom="0" percent="0" rank="0" text="" dxfId="75">
      <formula>AND(ISNUMBER(F11),F11&gt;=0)</formula>
    </cfRule>
  </conditionalFormatting>
  <conditionalFormatting sqref="B12">
    <cfRule type="expression" priority="42" aboveAverage="0" equalAverage="0" bottom="0" percent="0" rank="0" text="" dxfId="73">
      <formula>$B12="Confirmé"</formula>
    </cfRule>
    <cfRule type="expression" priority="43" aboveAverage="0" equalAverage="0" bottom="0" percent="0" rank="0" text="" dxfId="74">
      <formula>$B12="Pressenti"</formula>
    </cfRule>
    <cfRule type="expression" priority="44" aboveAverage="0" equalAverage="0" bottom="0" percent="0" rank="0" text="" dxfId="0">
      <formula>$B12="Option"</formula>
    </cfRule>
  </conditionalFormatting>
  <conditionalFormatting sqref="F12">
    <cfRule type="expression" priority="45" aboveAverage="0" equalAverage="0" bottom="0" percent="0" rank="0" text="" dxfId="3">
      <formula>AND(ISNUMBER(F12),F12&lt;0)</formula>
    </cfRule>
    <cfRule type="expression" priority="46" aboveAverage="0" equalAverage="0" bottom="0" percent="0" rank="0" text="" dxfId="75">
      <formula>AND(ISNUMBER(F12),F12&gt;=0)</formula>
    </cfRule>
  </conditionalFormatting>
  <conditionalFormatting sqref="B13">
    <cfRule type="expression" priority="47" aboveAverage="0" equalAverage="0" bottom="0" percent="0" rank="0" text="" dxfId="73">
      <formula>$B13="Confirmé"</formula>
    </cfRule>
    <cfRule type="expression" priority="48" aboveAverage="0" equalAverage="0" bottom="0" percent="0" rank="0" text="" dxfId="74">
      <formula>$B13="Pressenti"</formula>
    </cfRule>
    <cfRule type="expression" priority="49" aboveAverage="0" equalAverage="0" bottom="0" percent="0" rank="0" text="" dxfId="0">
      <formula>$B13="Option"</formula>
    </cfRule>
  </conditionalFormatting>
  <conditionalFormatting sqref="F13">
    <cfRule type="expression" priority="50" aboveAverage="0" equalAverage="0" bottom="0" percent="0" rank="0" text="" dxfId="3">
      <formula>AND(ISNUMBER(F13),F13&lt;0)</formula>
    </cfRule>
    <cfRule type="expression" priority="51" aboveAverage="0" equalAverage="0" bottom="0" percent="0" rank="0" text="" dxfId="75">
      <formula>AND(ISNUMBER(F13),F13&gt;=0)</formula>
    </cfRule>
  </conditionalFormatting>
  <conditionalFormatting sqref="B14">
    <cfRule type="expression" priority="52" aboveAverage="0" equalAverage="0" bottom="0" percent="0" rank="0" text="" dxfId="73">
      <formula>$B14="Confirmé"</formula>
    </cfRule>
    <cfRule type="expression" priority="53" aboveAverage="0" equalAverage="0" bottom="0" percent="0" rank="0" text="" dxfId="74">
      <formula>$B14="Pressenti"</formula>
    </cfRule>
    <cfRule type="expression" priority="54" aboveAverage="0" equalAverage="0" bottom="0" percent="0" rank="0" text="" dxfId="0">
      <formula>$B14="Option"</formula>
    </cfRule>
  </conditionalFormatting>
  <conditionalFormatting sqref="F14">
    <cfRule type="expression" priority="55" aboveAverage="0" equalAverage="0" bottom="0" percent="0" rank="0" text="" dxfId="3">
      <formula>AND(ISNUMBER(F14),F14&lt;0)</formula>
    </cfRule>
    <cfRule type="expression" priority="56" aboveAverage="0" equalAverage="0" bottom="0" percent="0" rank="0" text="" dxfId="75">
      <formula>AND(ISNUMBER(F14),F14&gt;=0)</formula>
    </cfRule>
  </conditionalFormatting>
  <conditionalFormatting sqref="B15">
    <cfRule type="expression" priority="57" aboveAverage="0" equalAverage="0" bottom="0" percent="0" rank="0" text="" dxfId="73">
      <formula>$B15="Confirmé"</formula>
    </cfRule>
    <cfRule type="expression" priority="58" aboveAverage="0" equalAverage="0" bottom="0" percent="0" rank="0" text="" dxfId="74">
      <formula>$B15="Pressenti"</formula>
    </cfRule>
    <cfRule type="expression" priority="59" aboveAverage="0" equalAverage="0" bottom="0" percent="0" rank="0" text="" dxfId="0">
      <formula>$B15="Option"</formula>
    </cfRule>
  </conditionalFormatting>
  <conditionalFormatting sqref="F15">
    <cfRule type="expression" priority="60" aboveAverage="0" equalAverage="0" bottom="0" percent="0" rank="0" text="" dxfId="3">
      <formula>AND(ISNUMBER(F15),F15&lt;0)</formula>
    </cfRule>
    <cfRule type="expression" priority="61" aboveAverage="0" equalAverage="0" bottom="0" percent="0" rank="0" text="" dxfId="75">
      <formula>AND(ISNUMBER(F15),F15&gt;=0)</formula>
    </cfRule>
  </conditionalFormatting>
  <conditionalFormatting sqref="B16">
    <cfRule type="expression" priority="62" aboveAverage="0" equalAverage="0" bottom="0" percent="0" rank="0" text="" dxfId="73">
      <formula>$B16="Confirmé"</formula>
    </cfRule>
    <cfRule type="expression" priority="63" aboveAverage="0" equalAverage="0" bottom="0" percent="0" rank="0" text="" dxfId="74">
      <formula>$B16="Pressenti"</formula>
    </cfRule>
    <cfRule type="expression" priority="64" aboveAverage="0" equalAverage="0" bottom="0" percent="0" rank="0" text="" dxfId="0">
      <formula>$B16="Option"</formula>
    </cfRule>
  </conditionalFormatting>
  <conditionalFormatting sqref="F16">
    <cfRule type="expression" priority="65" aboveAverage="0" equalAverage="0" bottom="0" percent="0" rank="0" text="" dxfId="3">
      <formula>AND(ISNUMBER(F16),F16&lt;0)</formula>
    </cfRule>
    <cfRule type="expression" priority="66" aboveAverage="0" equalAverage="0" bottom="0" percent="0" rank="0" text="" dxfId="75">
      <formula>AND(ISNUMBER(F16),F16&gt;=0)</formula>
    </cfRule>
  </conditionalFormatting>
  <conditionalFormatting sqref="B17">
    <cfRule type="expression" priority="67" aboveAverage="0" equalAverage="0" bottom="0" percent="0" rank="0" text="" dxfId="73">
      <formula>$B17="Confirmé"</formula>
    </cfRule>
    <cfRule type="expression" priority="68" aboveAverage="0" equalAverage="0" bottom="0" percent="0" rank="0" text="" dxfId="74">
      <formula>$B17="Pressenti"</formula>
    </cfRule>
    <cfRule type="expression" priority="69" aboveAverage="0" equalAverage="0" bottom="0" percent="0" rank="0" text="" dxfId="0">
      <formula>$B17="Option"</formula>
    </cfRule>
  </conditionalFormatting>
  <conditionalFormatting sqref="F17">
    <cfRule type="expression" priority="70" aboveAverage="0" equalAverage="0" bottom="0" percent="0" rank="0" text="" dxfId="3">
      <formula>AND(ISNUMBER(F17),F17&lt;0)</formula>
    </cfRule>
    <cfRule type="expression" priority="71" aboveAverage="0" equalAverage="0" bottom="0" percent="0" rank="0" text="" dxfId="75">
      <formula>AND(ISNUMBER(F17),F17&gt;=0)</formula>
    </cfRule>
  </conditionalFormatting>
  <conditionalFormatting sqref="B18">
    <cfRule type="expression" priority="72" aboveAverage="0" equalAverage="0" bottom="0" percent="0" rank="0" text="" dxfId="73">
      <formula>$B18="Confirmé"</formula>
    </cfRule>
    <cfRule type="expression" priority="73" aboveAverage="0" equalAverage="0" bottom="0" percent="0" rank="0" text="" dxfId="74">
      <formula>$B18="Pressenti"</formula>
    </cfRule>
    <cfRule type="expression" priority="74" aboveAverage="0" equalAverage="0" bottom="0" percent="0" rank="0" text="" dxfId="0">
      <formula>$B18="Option"</formula>
    </cfRule>
  </conditionalFormatting>
  <conditionalFormatting sqref="F18">
    <cfRule type="expression" priority="75" aboveAverage="0" equalAverage="0" bottom="0" percent="0" rank="0" text="" dxfId="3">
      <formula>AND(ISNUMBER(F18),F18&lt;0)</formula>
    </cfRule>
    <cfRule type="expression" priority="76" aboveAverage="0" equalAverage="0" bottom="0" percent="0" rank="0" text="" dxfId="75">
      <formula>AND(ISNUMBER(F18),F18&gt;=0)</formula>
    </cfRule>
  </conditionalFormatting>
  <dataValidations count="1">
    <dataValidation allowBlank="true" errorStyle="stop" operator="between" showDropDown="false" showErrorMessage="false" showInputMessage="false" sqref="B4:B18" type="list">
      <formula1>"Confirmé,Pressenti,Option"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30" hidden="false" customHeight="true" outlineLevel="0" collapsed="false">
      <c r="A1" s="86" t="s">
        <v>83</v>
      </c>
      <c r="B1" s="86"/>
      <c r="C1" s="86"/>
      <c r="D1" s="86"/>
      <c r="E1" s="86"/>
      <c r="F1" s="86"/>
      <c r="G1" s="86"/>
    </row>
    <row r="3" customFormat="false" ht="24" hidden="false" customHeight="true" outlineLevel="0" collapsed="false">
      <c r="A3" s="87" t="s">
        <v>4</v>
      </c>
      <c r="B3" s="87" t="s">
        <v>63</v>
      </c>
      <c r="C3" s="87" t="s">
        <v>13</v>
      </c>
      <c r="D3" s="87" t="s">
        <v>64</v>
      </c>
      <c r="E3" s="87" t="s">
        <v>3</v>
      </c>
      <c r="F3" s="87" t="s">
        <v>84</v>
      </c>
      <c r="G3" s="87" t="s">
        <v>85</v>
      </c>
    </row>
    <row r="4" customFormat="false" ht="15" hidden="false" customHeight="false" outlineLevel="0" collapsed="false">
      <c r="A4" s="62" t="s">
        <v>16</v>
      </c>
      <c r="B4" s="62" t="s">
        <v>40</v>
      </c>
      <c r="C4" s="70" t="n">
        <v>120</v>
      </c>
      <c r="D4" s="63" t="str">
        <f aca="false">IF($B4="","",IFERROR(VLOOKUP($B4,Financement!$A$4:$B$18,2,FALSE()),""))</f>
        <v>Confirmé</v>
      </c>
      <c r="E4" s="63" t="str">
        <f aca="false">IF($A4="","",IFERROR(INDEX(Gantt!$B$4:$B$33,MATCH($A4,Gantt!$C$4:$C$33,0)),""))</f>
        <v>Projet A</v>
      </c>
      <c r="F4" s="63" t="n">
        <f aca="false">IF($A4="","",IFERROR(INDEX(Gantt!$G$4:$G$33,MATCH($A4,Gantt!$C$4:$C$33,0)),""))</f>
        <v>120</v>
      </c>
      <c r="G4" s="63" t="n">
        <f aca="false">IF($A4="","",F4-SUMIF($A$4:$A$103,$A4,$C$4:$C$103))</f>
        <v>0</v>
      </c>
    </row>
    <row r="5" customFormat="false" ht="15" hidden="false" customHeight="false" outlineLevel="0" collapsed="false">
      <c r="A5" s="62" t="s">
        <v>21</v>
      </c>
      <c r="B5" s="62" t="s">
        <v>40</v>
      </c>
      <c r="C5" s="70" t="n">
        <v>200</v>
      </c>
      <c r="D5" s="79" t="str">
        <f aca="false">IF($B5="","",IFERROR(VLOOKUP($B5,Financement!$A$4:$B$18,2,FALSE()),""))</f>
        <v>Confirmé</v>
      </c>
      <c r="E5" s="79" t="str">
        <f aca="false">IF($A5="","",IFERROR(INDEX(Gantt!$B$4:$B$33,MATCH($A5,Gantt!$C$4:$C$33,0)),""))</f>
        <v>Projet A</v>
      </c>
      <c r="F5" s="79" t="n">
        <f aca="false">IF($A5="","",IFERROR(INDEX(Gantt!$G$4:$G$33,MATCH($A5,Gantt!$C$4:$C$33,0)),""))</f>
        <v>200</v>
      </c>
      <c r="G5" s="79" t="n">
        <f aca="false">IF($A5="","",F5-SUMIF($A$4:$A$103,$A5,$C$4:$C$103))</f>
        <v>0</v>
      </c>
    </row>
    <row r="6" customFormat="false" ht="15" hidden="false" customHeight="false" outlineLevel="0" collapsed="false">
      <c r="A6" s="62" t="s">
        <v>24</v>
      </c>
      <c r="B6" s="62" t="s">
        <v>43</v>
      </c>
      <c r="C6" s="70" t="n">
        <v>300</v>
      </c>
      <c r="D6" s="63" t="str">
        <f aca="false">IF($B6="","",IFERROR(VLOOKUP($B6,Financement!$A$4:$B$18,2,FALSE()),""))</f>
        <v>Confirmé</v>
      </c>
      <c r="E6" s="63" t="str">
        <f aca="false">IF($A6="","",IFERROR(INDEX(Gantt!$B$4:$B$33,MATCH($A6,Gantt!$C$4:$C$33,0)),""))</f>
        <v>Projet B</v>
      </c>
      <c r="F6" s="63" t="n">
        <f aca="false">IF($A6="","",IFERROR(INDEX(Gantt!$G$4:$G$33,MATCH($A6,Gantt!$C$4:$C$33,0)),""))</f>
        <v>480</v>
      </c>
      <c r="G6" s="63" t="n">
        <f aca="false">IF($A6="","",F6-SUMIF($A$4:$A$103,$A6,$C$4:$C$103))</f>
        <v>0</v>
      </c>
    </row>
    <row r="7" customFormat="false" ht="15" hidden="false" customHeight="false" outlineLevel="0" collapsed="false">
      <c r="A7" s="62" t="s">
        <v>24</v>
      </c>
      <c r="B7" s="62" t="s">
        <v>73</v>
      </c>
      <c r="C7" s="70" t="n">
        <v>180</v>
      </c>
      <c r="D7" s="79" t="str">
        <f aca="false">IF($B7="","",IFERROR(VLOOKUP($B7,Financement!$A$4:$B$18,2,FALSE()),""))</f>
        <v>Pressenti</v>
      </c>
      <c r="E7" s="79" t="str">
        <f aca="false">IF($A7="","",IFERROR(INDEX(Gantt!$B$4:$B$33,MATCH($A7,Gantt!$C$4:$C$33,0)),""))</f>
        <v>Projet B</v>
      </c>
      <c r="F7" s="79" t="n">
        <f aca="false">IF($A7="","",IFERROR(INDEX(Gantt!$G$4:$G$33,MATCH($A7,Gantt!$C$4:$C$33,0)),""))</f>
        <v>480</v>
      </c>
      <c r="G7" s="79" t="n">
        <f aca="false">IF($A7="","",F7-SUMIF($A$4:$A$103,$A7,$C$4:$C$103))</f>
        <v>0</v>
      </c>
    </row>
    <row r="8" customFormat="false" ht="15" hidden="false" customHeight="false" outlineLevel="0" collapsed="false">
      <c r="A8" s="62" t="s">
        <v>28</v>
      </c>
      <c r="B8" s="62" t="s">
        <v>43</v>
      </c>
      <c r="C8" s="70" t="n">
        <v>500</v>
      </c>
      <c r="D8" s="56" t="str">
        <f aca="false">IF($B8="","",IFERROR(VLOOKUP($B8,Financement!$A$4:$B$18,2,FALSE()),""))</f>
        <v>Confirmé</v>
      </c>
      <c r="E8" s="63" t="str">
        <f aca="false">IF($A8="","",IFERROR(INDEX(Gantt!$B$4:$B$33,MATCH($A8,Gantt!$C$4:$C$33,0)),""))</f>
        <v>Projet B</v>
      </c>
      <c r="F8" s="63" t="n">
        <f aca="false">IF($A8="","",IFERROR(INDEX(Gantt!$G$4:$G$33,MATCH($A8,Gantt!$C$4:$C$33,0)),""))</f>
        <v>500</v>
      </c>
      <c r="G8" s="63" t="n">
        <f aca="false">IF($A8="","",F8-SUMIF($A$4:$A$103,$A8,$C$4:$C$103))</f>
        <v>0</v>
      </c>
    </row>
    <row r="9" customFormat="false" ht="15" hidden="false" customHeight="false" outlineLevel="0" collapsed="false">
      <c r="A9" s="62" t="s">
        <v>31</v>
      </c>
      <c r="B9" s="62" t="s">
        <v>43</v>
      </c>
      <c r="C9" s="70" t="n">
        <v>220</v>
      </c>
      <c r="D9" s="81" t="str">
        <f aca="false">IF($B9="","",IFERROR(VLOOKUP($B9,Financement!$A$4:$B$18,2,FALSE()),""))</f>
        <v>Confirmé</v>
      </c>
      <c r="E9" s="79" t="str">
        <f aca="false">IF($A9="","",IFERROR(INDEX(Gantt!$B$4:$B$33,MATCH($A9,Gantt!$C$4:$C$33,0)),""))</f>
        <v>Projet A</v>
      </c>
      <c r="F9" s="79" t="n">
        <f aca="false">IF($A9="","",IFERROR(INDEX(Gantt!$G$4:$G$33,MATCH($A9,Gantt!$C$4:$C$33,0)),""))</f>
        <v>320</v>
      </c>
      <c r="G9" s="79" t="n">
        <f aca="false">IF($A9="","",F9-SUMIF($A$4:$A$103,$A9,$C$4:$C$103))</f>
        <v>0</v>
      </c>
    </row>
    <row r="10" customFormat="false" ht="15" hidden="false" customHeight="false" outlineLevel="0" collapsed="false">
      <c r="A10" s="62" t="s">
        <v>31</v>
      </c>
      <c r="B10" s="62" t="s">
        <v>76</v>
      </c>
      <c r="C10" s="70" t="n">
        <v>100</v>
      </c>
      <c r="D10" s="56" t="str">
        <f aca="false">IF($B10="","",IFERROR(VLOOKUP($B10,Financement!$A$4:$B$18,2,FALSE()),""))</f>
        <v>Option</v>
      </c>
      <c r="E10" s="63" t="str">
        <f aca="false">IF($A10="","",IFERROR(INDEX(Gantt!$B$4:$B$33,MATCH($A10,Gantt!$C$4:$C$33,0)),""))</f>
        <v>Projet A</v>
      </c>
      <c r="F10" s="63" t="n">
        <f aca="false">IF($A10="","",IFERROR(INDEX(Gantt!$G$4:$G$33,MATCH($A10,Gantt!$C$4:$C$33,0)),""))</f>
        <v>320</v>
      </c>
      <c r="G10" s="63" t="n">
        <f aca="false">IF($A10="","",F10-SUMIF($A$4:$A$103,$A10,$C$4:$C$103))</f>
        <v>0</v>
      </c>
    </row>
    <row r="11" customFormat="false" ht="15" hidden="false" customHeight="false" outlineLevel="0" collapsed="false">
      <c r="A11" s="62"/>
      <c r="B11" s="62"/>
      <c r="C11" s="70"/>
      <c r="D11" s="81" t="str">
        <f aca="false">IF($B11="","",IFERROR(VLOOKUP($B11,Financement!$A$4:$B$18,2,FALSE()),""))</f>
        <v/>
      </c>
      <c r="E11" s="79" t="str">
        <f aca="false">IF($A11="","",IFERROR(INDEX(Gantt!$B$4:$B$33,MATCH($A11,Gantt!$C$4:$C$33,0)),""))</f>
        <v/>
      </c>
      <c r="F11" s="79" t="str">
        <f aca="false">IF($A11="","",IFERROR(INDEX(Gantt!$G$4:$G$33,MATCH($A11,Gantt!$C$4:$C$33,0)),""))</f>
        <v/>
      </c>
      <c r="G11" s="81" t="str">
        <f aca="false">IF($A11="","",F11-SUMIF($A$4:$A$103,$A11,$C$4:$C$103))</f>
        <v/>
      </c>
    </row>
    <row r="12" customFormat="false" ht="15" hidden="false" customHeight="false" outlineLevel="0" collapsed="false">
      <c r="A12" s="62"/>
      <c r="B12" s="62"/>
      <c r="C12" s="70"/>
      <c r="D12" s="56" t="str">
        <f aca="false">IF($B12="","",IFERROR(VLOOKUP($B12,Financement!$A$4:$B$18,2,FALSE()),""))</f>
        <v/>
      </c>
      <c r="E12" s="63" t="str">
        <f aca="false">IF($A12="","",IFERROR(INDEX(Gantt!$B$4:$B$33,MATCH($A12,Gantt!$C$4:$C$33,0)),""))</f>
        <v/>
      </c>
      <c r="F12" s="63" t="str">
        <f aca="false">IF($A12="","",IFERROR(INDEX(Gantt!$G$4:$G$33,MATCH($A12,Gantt!$C$4:$C$33,0)),""))</f>
        <v/>
      </c>
      <c r="G12" s="56" t="str">
        <f aca="false">IF($A12="","",F12-SUMIF($A$4:$A$103,$A12,$C$4:$C$103))</f>
        <v/>
      </c>
    </row>
    <row r="13" customFormat="false" ht="15" hidden="false" customHeight="false" outlineLevel="0" collapsed="false">
      <c r="A13" s="62"/>
      <c r="B13" s="62"/>
      <c r="C13" s="70"/>
      <c r="D13" s="81" t="str">
        <f aca="false">IF($B13="","",IFERROR(VLOOKUP($B13,Financement!$A$4:$B$18,2,FALSE()),""))</f>
        <v/>
      </c>
      <c r="E13" s="79" t="str">
        <f aca="false">IF($A13="","",IFERROR(INDEX(Gantt!$B$4:$B$33,MATCH($A13,Gantt!$C$4:$C$33,0)),""))</f>
        <v/>
      </c>
      <c r="F13" s="79" t="str">
        <f aca="false">IF($A13="","",IFERROR(INDEX(Gantt!$G$4:$G$33,MATCH($A13,Gantt!$C$4:$C$33,0)),""))</f>
        <v/>
      </c>
      <c r="G13" s="81" t="str">
        <f aca="false">IF($A13="","",F13-SUMIF($A$4:$A$103,$A13,$C$4:$C$103))</f>
        <v/>
      </c>
    </row>
    <row r="14" customFormat="false" ht="15" hidden="false" customHeight="false" outlineLevel="0" collapsed="false">
      <c r="A14" s="62"/>
      <c r="B14" s="62"/>
      <c r="C14" s="70"/>
      <c r="D14" s="56" t="str">
        <f aca="false">IF($B14="","",IFERROR(VLOOKUP($B14,Financement!$A$4:$B$18,2,FALSE()),""))</f>
        <v/>
      </c>
      <c r="E14" s="63" t="str">
        <f aca="false">IF($A14="","",IFERROR(INDEX(Gantt!$B$4:$B$33,MATCH($A14,Gantt!$C$4:$C$33,0)),""))</f>
        <v/>
      </c>
      <c r="F14" s="63" t="str">
        <f aca="false">IF($A14="","",IFERROR(INDEX(Gantt!$G$4:$G$33,MATCH($A14,Gantt!$C$4:$C$33,0)),""))</f>
        <v/>
      </c>
      <c r="G14" s="56" t="str">
        <f aca="false">IF($A14="","",F14-SUMIF($A$4:$A$103,$A14,$C$4:$C$103))</f>
        <v/>
      </c>
    </row>
    <row r="15" customFormat="false" ht="15" hidden="false" customHeight="false" outlineLevel="0" collapsed="false">
      <c r="A15" s="62"/>
      <c r="B15" s="62"/>
      <c r="C15" s="70"/>
      <c r="D15" s="81" t="str">
        <f aca="false">IF($B15="","",IFERROR(VLOOKUP($B15,Financement!$A$4:$B$18,2,FALSE()),""))</f>
        <v/>
      </c>
      <c r="E15" s="79" t="str">
        <f aca="false">IF($A15="","",IFERROR(INDEX(Gantt!$B$4:$B$33,MATCH($A15,Gantt!$C$4:$C$33,0)),""))</f>
        <v/>
      </c>
      <c r="F15" s="79" t="str">
        <f aca="false">IF($A15="","",IFERROR(INDEX(Gantt!$G$4:$G$33,MATCH($A15,Gantt!$C$4:$C$33,0)),""))</f>
        <v/>
      </c>
      <c r="G15" s="81" t="str">
        <f aca="false">IF($A15="","",F15-SUMIF($A$4:$A$103,$A15,$C$4:$C$103))</f>
        <v/>
      </c>
    </row>
    <row r="16" customFormat="false" ht="15" hidden="false" customHeight="false" outlineLevel="0" collapsed="false">
      <c r="A16" s="62"/>
      <c r="B16" s="62"/>
      <c r="C16" s="70"/>
      <c r="D16" s="56" t="str">
        <f aca="false">IF($B16="","",IFERROR(VLOOKUP($B16,Financement!$A$4:$B$18,2,FALSE()),""))</f>
        <v/>
      </c>
      <c r="E16" s="63" t="str">
        <f aca="false">IF($A16="","",IFERROR(INDEX(Gantt!$B$4:$B$33,MATCH($A16,Gantt!$C$4:$C$33,0)),""))</f>
        <v/>
      </c>
      <c r="F16" s="63" t="str">
        <f aca="false">IF($A16="","",IFERROR(INDEX(Gantt!$G$4:$G$33,MATCH($A16,Gantt!$C$4:$C$33,0)),""))</f>
        <v/>
      </c>
      <c r="G16" s="56" t="str">
        <f aca="false">IF($A16="","",F16-SUMIF($A$4:$A$103,$A16,$C$4:$C$103))</f>
        <v/>
      </c>
    </row>
    <row r="17" customFormat="false" ht="15" hidden="false" customHeight="false" outlineLevel="0" collapsed="false">
      <c r="A17" s="62"/>
      <c r="B17" s="62"/>
      <c r="C17" s="70"/>
      <c r="D17" s="81" t="str">
        <f aca="false">IF($B17="","",IFERROR(VLOOKUP($B17,Financement!$A$4:$B$18,2,FALSE()),""))</f>
        <v/>
      </c>
      <c r="E17" s="79" t="str">
        <f aca="false">IF($A17="","",IFERROR(INDEX(Gantt!$B$4:$B$33,MATCH($A17,Gantt!$C$4:$C$33,0)),""))</f>
        <v/>
      </c>
      <c r="F17" s="79" t="str">
        <f aca="false">IF($A17="","",IFERROR(INDEX(Gantt!$G$4:$G$33,MATCH($A17,Gantt!$C$4:$C$33,0)),""))</f>
        <v/>
      </c>
      <c r="G17" s="81" t="str">
        <f aca="false">IF($A17="","",F17-SUMIF($A$4:$A$103,$A17,$C$4:$C$103))</f>
        <v/>
      </c>
    </row>
    <row r="18" customFormat="false" ht="15" hidden="false" customHeight="false" outlineLevel="0" collapsed="false">
      <c r="A18" s="62"/>
      <c r="B18" s="62"/>
      <c r="C18" s="70"/>
      <c r="D18" s="56" t="str">
        <f aca="false">IF($B18="","",IFERROR(VLOOKUP($B18,Financement!$A$4:$B$18,2,FALSE()),""))</f>
        <v/>
      </c>
      <c r="E18" s="63" t="str">
        <f aca="false">IF($A18="","",IFERROR(INDEX(Gantt!$B$4:$B$33,MATCH($A18,Gantt!$C$4:$C$33,0)),""))</f>
        <v/>
      </c>
      <c r="F18" s="63" t="str">
        <f aca="false">IF($A18="","",IFERROR(INDEX(Gantt!$G$4:$G$33,MATCH($A18,Gantt!$C$4:$C$33,0)),""))</f>
        <v/>
      </c>
      <c r="G18" s="56" t="str">
        <f aca="false">IF($A18="","",F18-SUMIF($A$4:$A$103,$A18,$C$4:$C$103))</f>
        <v/>
      </c>
    </row>
    <row r="19" customFormat="false" ht="15" hidden="false" customHeight="false" outlineLevel="0" collapsed="false">
      <c r="A19" s="62"/>
      <c r="B19" s="62"/>
      <c r="C19" s="70"/>
      <c r="D19" s="81" t="str">
        <f aca="false">IF($B19="","",IFERROR(VLOOKUP($B19,Financement!$A$4:$B$18,2,FALSE()),""))</f>
        <v/>
      </c>
      <c r="E19" s="79" t="str">
        <f aca="false">IF($A19="","",IFERROR(INDEX(Gantt!$B$4:$B$33,MATCH($A19,Gantt!$C$4:$C$33,0)),""))</f>
        <v/>
      </c>
      <c r="F19" s="79" t="str">
        <f aca="false">IF($A19="","",IFERROR(INDEX(Gantt!$G$4:$G$33,MATCH($A19,Gantt!$C$4:$C$33,0)),""))</f>
        <v/>
      </c>
      <c r="G19" s="81" t="str">
        <f aca="false">IF($A19="","",F19-SUMIF($A$4:$A$103,$A19,$C$4:$C$103))</f>
        <v/>
      </c>
    </row>
    <row r="20" customFormat="false" ht="15" hidden="false" customHeight="false" outlineLevel="0" collapsed="false">
      <c r="A20" s="62"/>
      <c r="B20" s="62"/>
      <c r="C20" s="70"/>
      <c r="D20" s="56" t="str">
        <f aca="false">IF($B20="","",IFERROR(VLOOKUP($B20,Financement!$A$4:$B$18,2,FALSE()),""))</f>
        <v/>
      </c>
      <c r="E20" s="63" t="str">
        <f aca="false">IF($A20="","",IFERROR(INDEX(Gantt!$B$4:$B$33,MATCH($A20,Gantt!$C$4:$C$33,0)),""))</f>
        <v/>
      </c>
      <c r="F20" s="63" t="str">
        <f aca="false">IF($A20="","",IFERROR(INDEX(Gantt!$G$4:$G$33,MATCH($A20,Gantt!$C$4:$C$33,0)),""))</f>
        <v/>
      </c>
      <c r="G20" s="56" t="str">
        <f aca="false">IF($A20="","",F20-SUMIF($A$4:$A$103,$A20,$C$4:$C$103))</f>
        <v/>
      </c>
    </row>
    <row r="21" customFormat="false" ht="15" hidden="false" customHeight="false" outlineLevel="0" collapsed="false">
      <c r="A21" s="62"/>
      <c r="B21" s="62"/>
      <c r="C21" s="70"/>
      <c r="D21" s="81" t="str">
        <f aca="false">IF($B21="","",IFERROR(VLOOKUP($B21,Financement!$A$4:$B$18,2,FALSE()),""))</f>
        <v/>
      </c>
      <c r="E21" s="79" t="str">
        <f aca="false">IF($A21="","",IFERROR(INDEX(Gantt!$B$4:$B$33,MATCH($A21,Gantt!$C$4:$C$33,0)),""))</f>
        <v/>
      </c>
      <c r="F21" s="79" t="str">
        <f aca="false">IF($A21="","",IFERROR(INDEX(Gantt!$G$4:$G$33,MATCH($A21,Gantt!$C$4:$C$33,0)),""))</f>
        <v/>
      </c>
      <c r="G21" s="81" t="str">
        <f aca="false">IF($A21="","",F21-SUMIF($A$4:$A$103,$A21,$C$4:$C$103))</f>
        <v/>
      </c>
    </row>
    <row r="22" customFormat="false" ht="15" hidden="false" customHeight="false" outlineLevel="0" collapsed="false">
      <c r="A22" s="62"/>
      <c r="B22" s="62"/>
      <c r="C22" s="70"/>
      <c r="D22" s="56" t="str">
        <f aca="false">IF($B22="","",IFERROR(VLOOKUP($B22,Financement!$A$4:$B$18,2,FALSE()),""))</f>
        <v/>
      </c>
      <c r="E22" s="63" t="str">
        <f aca="false">IF($A22="","",IFERROR(INDEX(Gantt!$B$4:$B$33,MATCH($A22,Gantt!$C$4:$C$33,0)),""))</f>
        <v/>
      </c>
      <c r="F22" s="63" t="str">
        <f aca="false">IF($A22="","",IFERROR(INDEX(Gantt!$G$4:$G$33,MATCH($A22,Gantt!$C$4:$C$33,0)),""))</f>
        <v/>
      </c>
      <c r="G22" s="56" t="str">
        <f aca="false">IF($A22="","",F22-SUMIF($A$4:$A$103,$A22,$C$4:$C$103))</f>
        <v/>
      </c>
    </row>
    <row r="23" customFormat="false" ht="15" hidden="false" customHeight="false" outlineLevel="0" collapsed="false">
      <c r="A23" s="62"/>
      <c r="B23" s="62"/>
      <c r="C23" s="70"/>
      <c r="D23" s="81" t="str">
        <f aca="false">IF($B23="","",IFERROR(VLOOKUP($B23,Financement!$A$4:$B$18,2,FALSE()),""))</f>
        <v/>
      </c>
      <c r="E23" s="79" t="str">
        <f aca="false">IF($A23="","",IFERROR(INDEX(Gantt!$B$4:$B$33,MATCH($A23,Gantt!$C$4:$C$33,0)),""))</f>
        <v/>
      </c>
      <c r="F23" s="79" t="str">
        <f aca="false">IF($A23="","",IFERROR(INDEX(Gantt!$G$4:$G$33,MATCH($A23,Gantt!$C$4:$C$33,0)),""))</f>
        <v/>
      </c>
      <c r="G23" s="81" t="str">
        <f aca="false">IF($A23="","",F23-SUMIF($A$4:$A$103,$A23,$C$4:$C$103))</f>
        <v/>
      </c>
    </row>
    <row r="24" customFormat="false" ht="15" hidden="false" customHeight="false" outlineLevel="0" collapsed="false">
      <c r="A24" s="62"/>
      <c r="B24" s="62"/>
      <c r="C24" s="70"/>
      <c r="D24" s="56" t="str">
        <f aca="false">IF($B24="","",IFERROR(VLOOKUP($B24,Financement!$A$4:$B$18,2,FALSE()),""))</f>
        <v/>
      </c>
      <c r="E24" s="63" t="str">
        <f aca="false">IF($A24="","",IFERROR(INDEX(Gantt!$B$4:$B$33,MATCH($A24,Gantt!$C$4:$C$33,0)),""))</f>
        <v/>
      </c>
      <c r="F24" s="63" t="str">
        <f aca="false">IF($A24="","",IFERROR(INDEX(Gantt!$G$4:$G$33,MATCH($A24,Gantt!$C$4:$C$33,0)),""))</f>
        <v/>
      </c>
      <c r="G24" s="56" t="str">
        <f aca="false">IF($A24="","",F24-SUMIF($A$4:$A$103,$A24,$C$4:$C$103))</f>
        <v/>
      </c>
    </row>
    <row r="25" customFormat="false" ht="15" hidden="false" customHeight="false" outlineLevel="0" collapsed="false">
      <c r="A25" s="62"/>
      <c r="B25" s="62"/>
      <c r="C25" s="70"/>
      <c r="D25" s="81" t="str">
        <f aca="false">IF($B25="","",IFERROR(VLOOKUP($B25,Financement!$A$4:$B$18,2,FALSE()),""))</f>
        <v/>
      </c>
      <c r="E25" s="79" t="str">
        <f aca="false">IF($A25="","",IFERROR(INDEX(Gantt!$B$4:$B$33,MATCH($A25,Gantt!$C$4:$C$33,0)),""))</f>
        <v/>
      </c>
      <c r="F25" s="79" t="str">
        <f aca="false">IF($A25="","",IFERROR(INDEX(Gantt!$G$4:$G$33,MATCH($A25,Gantt!$C$4:$C$33,0)),""))</f>
        <v/>
      </c>
      <c r="G25" s="81" t="str">
        <f aca="false">IF($A25="","",F25-SUMIF($A$4:$A$103,$A25,$C$4:$C$103))</f>
        <v/>
      </c>
    </row>
    <row r="26" customFormat="false" ht="15" hidden="false" customHeight="false" outlineLevel="0" collapsed="false">
      <c r="A26" s="62"/>
      <c r="B26" s="62"/>
      <c r="C26" s="70"/>
      <c r="D26" s="56" t="str">
        <f aca="false">IF($B26="","",IFERROR(VLOOKUP($B26,Financement!$A$4:$B$18,2,FALSE()),""))</f>
        <v/>
      </c>
      <c r="E26" s="63" t="str">
        <f aca="false">IF($A26="","",IFERROR(INDEX(Gantt!$B$4:$B$33,MATCH($A26,Gantt!$C$4:$C$33,0)),""))</f>
        <v/>
      </c>
      <c r="F26" s="63" t="str">
        <f aca="false">IF($A26="","",IFERROR(INDEX(Gantt!$G$4:$G$33,MATCH($A26,Gantt!$C$4:$C$33,0)),""))</f>
        <v/>
      </c>
      <c r="G26" s="56" t="str">
        <f aca="false">IF($A26="","",F26-SUMIF($A$4:$A$103,$A26,$C$4:$C$103))</f>
        <v/>
      </c>
    </row>
    <row r="27" customFormat="false" ht="15" hidden="false" customHeight="false" outlineLevel="0" collapsed="false">
      <c r="A27" s="62"/>
      <c r="B27" s="62"/>
      <c r="C27" s="70"/>
      <c r="D27" s="81" t="str">
        <f aca="false">IF($B27="","",IFERROR(VLOOKUP($B27,Financement!$A$4:$B$18,2,FALSE()),""))</f>
        <v/>
      </c>
      <c r="E27" s="79" t="str">
        <f aca="false">IF($A27="","",IFERROR(INDEX(Gantt!$B$4:$B$33,MATCH($A27,Gantt!$C$4:$C$33,0)),""))</f>
        <v/>
      </c>
      <c r="F27" s="79" t="str">
        <f aca="false">IF($A27="","",IFERROR(INDEX(Gantt!$G$4:$G$33,MATCH($A27,Gantt!$C$4:$C$33,0)),""))</f>
        <v/>
      </c>
      <c r="G27" s="81" t="str">
        <f aca="false">IF($A27="","",F27-SUMIF($A$4:$A$103,$A27,$C$4:$C$103))</f>
        <v/>
      </c>
    </row>
    <row r="28" customFormat="false" ht="15" hidden="false" customHeight="false" outlineLevel="0" collapsed="false">
      <c r="A28" s="62"/>
      <c r="B28" s="62"/>
      <c r="C28" s="70"/>
      <c r="D28" s="56" t="str">
        <f aca="false">IF($B28="","",IFERROR(VLOOKUP($B28,Financement!$A$4:$B$18,2,FALSE()),""))</f>
        <v/>
      </c>
      <c r="E28" s="63" t="str">
        <f aca="false">IF($A28="","",IFERROR(INDEX(Gantt!$B$4:$B$33,MATCH($A28,Gantt!$C$4:$C$33,0)),""))</f>
        <v/>
      </c>
      <c r="F28" s="63" t="str">
        <f aca="false">IF($A28="","",IFERROR(INDEX(Gantt!$G$4:$G$33,MATCH($A28,Gantt!$C$4:$C$33,0)),""))</f>
        <v/>
      </c>
      <c r="G28" s="56" t="str">
        <f aca="false">IF($A28="","",F28-SUMIF($A$4:$A$103,$A28,$C$4:$C$103))</f>
        <v/>
      </c>
    </row>
    <row r="29" customFormat="false" ht="15" hidden="false" customHeight="false" outlineLevel="0" collapsed="false">
      <c r="A29" s="62"/>
      <c r="B29" s="62"/>
      <c r="C29" s="70"/>
      <c r="D29" s="81" t="str">
        <f aca="false">IF($B29="","",IFERROR(VLOOKUP($B29,Financement!$A$4:$B$18,2,FALSE()),""))</f>
        <v/>
      </c>
      <c r="E29" s="79" t="str">
        <f aca="false">IF($A29="","",IFERROR(INDEX(Gantt!$B$4:$B$33,MATCH($A29,Gantt!$C$4:$C$33,0)),""))</f>
        <v/>
      </c>
      <c r="F29" s="79" t="str">
        <f aca="false">IF($A29="","",IFERROR(INDEX(Gantt!$G$4:$G$33,MATCH($A29,Gantt!$C$4:$C$33,0)),""))</f>
        <v/>
      </c>
      <c r="G29" s="81" t="str">
        <f aca="false">IF($A29="","",F29-SUMIF($A$4:$A$103,$A29,$C$4:$C$103))</f>
        <v/>
      </c>
    </row>
    <row r="30" customFormat="false" ht="15" hidden="false" customHeight="false" outlineLevel="0" collapsed="false">
      <c r="A30" s="62"/>
      <c r="B30" s="62"/>
      <c r="C30" s="70"/>
      <c r="D30" s="56" t="str">
        <f aca="false">IF($B30="","",IFERROR(VLOOKUP($B30,Financement!$A$4:$B$18,2,FALSE()),""))</f>
        <v/>
      </c>
      <c r="E30" s="63" t="str">
        <f aca="false">IF($A30="","",IFERROR(INDEX(Gantt!$B$4:$B$33,MATCH($A30,Gantt!$C$4:$C$33,0)),""))</f>
        <v/>
      </c>
      <c r="F30" s="63" t="str">
        <f aca="false">IF($A30="","",IFERROR(INDEX(Gantt!$G$4:$G$33,MATCH($A30,Gantt!$C$4:$C$33,0)),""))</f>
        <v/>
      </c>
      <c r="G30" s="56" t="str">
        <f aca="false">IF($A30="","",F30-SUMIF($A$4:$A$103,$A30,$C$4:$C$103))</f>
        <v/>
      </c>
    </row>
    <row r="31" customFormat="false" ht="15" hidden="false" customHeight="false" outlineLevel="0" collapsed="false">
      <c r="A31" s="62"/>
      <c r="B31" s="62"/>
      <c r="C31" s="70"/>
      <c r="D31" s="81" t="str">
        <f aca="false">IF($B31="","",IFERROR(VLOOKUP($B31,Financement!$A$4:$B$18,2,FALSE()),""))</f>
        <v/>
      </c>
      <c r="E31" s="79" t="str">
        <f aca="false">IF($A31="","",IFERROR(INDEX(Gantt!$B$4:$B$33,MATCH($A31,Gantt!$C$4:$C$33,0)),""))</f>
        <v/>
      </c>
      <c r="F31" s="79" t="str">
        <f aca="false">IF($A31="","",IFERROR(INDEX(Gantt!$G$4:$G$33,MATCH($A31,Gantt!$C$4:$C$33,0)),""))</f>
        <v/>
      </c>
      <c r="G31" s="81" t="str">
        <f aca="false">IF($A31="","",F31-SUMIF($A$4:$A$103,$A31,$C$4:$C$103))</f>
        <v/>
      </c>
    </row>
    <row r="32" customFormat="false" ht="15" hidden="false" customHeight="false" outlineLevel="0" collapsed="false">
      <c r="A32" s="62"/>
      <c r="B32" s="62"/>
      <c r="C32" s="70"/>
      <c r="D32" s="56" t="str">
        <f aca="false">IF($B32="","",IFERROR(VLOOKUP($B32,Financement!$A$4:$B$18,2,FALSE()),""))</f>
        <v/>
      </c>
      <c r="E32" s="63" t="str">
        <f aca="false">IF($A32="","",IFERROR(INDEX(Gantt!$B$4:$B$33,MATCH($A32,Gantt!$C$4:$C$33,0)),""))</f>
        <v/>
      </c>
      <c r="F32" s="63" t="str">
        <f aca="false">IF($A32="","",IFERROR(INDEX(Gantt!$G$4:$G$33,MATCH($A32,Gantt!$C$4:$C$33,0)),""))</f>
        <v/>
      </c>
      <c r="G32" s="56" t="str">
        <f aca="false">IF($A32="","",F32-SUMIF($A$4:$A$103,$A32,$C$4:$C$103))</f>
        <v/>
      </c>
    </row>
    <row r="33" customFormat="false" ht="15" hidden="false" customHeight="false" outlineLevel="0" collapsed="false">
      <c r="A33" s="62"/>
      <c r="B33" s="62"/>
      <c r="C33" s="70"/>
      <c r="D33" s="81" t="str">
        <f aca="false">IF($B33="","",IFERROR(VLOOKUP($B33,Financement!$A$4:$B$18,2,FALSE()),""))</f>
        <v/>
      </c>
      <c r="E33" s="79" t="str">
        <f aca="false">IF($A33="","",IFERROR(INDEX(Gantt!$B$4:$B$33,MATCH($A33,Gantt!$C$4:$C$33,0)),""))</f>
        <v/>
      </c>
      <c r="F33" s="79" t="str">
        <f aca="false">IF($A33="","",IFERROR(INDEX(Gantt!$G$4:$G$33,MATCH($A33,Gantt!$C$4:$C$33,0)),""))</f>
        <v/>
      </c>
      <c r="G33" s="81" t="str">
        <f aca="false">IF($A33="","",F33-SUMIF($A$4:$A$103,$A33,$C$4:$C$103))</f>
        <v/>
      </c>
    </row>
    <row r="34" customFormat="false" ht="15" hidden="false" customHeight="false" outlineLevel="0" collapsed="false">
      <c r="A34" s="62"/>
      <c r="B34" s="62"/>
      <c r="C34" s="70"/>
      <c r="D34" s="56" t="str">
        <f aca="false">IF($B34="","",IFERROR(VLOOKUP($B34,Financement!$A$4:$B$18,2,FALSE()),""))</f>
        <v/>
      </c>
      <c r="E34" s="63" t="str">
        <f aca="false">IF($A34="","",IFERROR(INDEX(Gantt!$B$4:$B$33,MATCH($A34,Gantt!$C$4:$C$33,0)),""))</f>
        <v/>
      </c>
      <c r="F34" s="63" t="str">
        <f aca="false">IF($A34="","",IFERROR(INDEX(Gantt!$G$4:$G$33,MATCH($A34,Gantt!$C$4:$C$33,0)),""))</f>
        <v/>
      </c>
      <c r="G34" s="56" t="str">
        <f aca="false">IF($A34="","",F34-SUMIF($A$4:$A$103,$A34,$C$4:$C$103))</f>
        <v/>
      </c>
    </row>
    <row r="35" customFormat="false" ht="15" hidden="false" customHeight="false" outlineLevel="0" collapsed="false">
      <c r="A35" s="62"/>
      <c r="B35" s="62"/>
      <c r="C35" s="70"/>
      <c r="D35" s="81" t="str">
        <f aca="false">IF($B35="","",IFERROR(VLOOKUP($B35,Financement!$A$4:$B$18,2,FALSE()),""))</f>
        <v/>
      </c>
      <c r="E35" s="79" t="str">
        <f aca="false">IF($A35="","",IFERROR(INDEX(Gantt!$B$4:$B$33,MATCH($A35,Gantt!$C$4:$C$33,0)),""))</f>
        <v/>
      </c>
      <c r="F35" s="79" t="str">
        <f aca="false">IF($A35="","",IFERROR(INDEX(Gantt!$G$4:$G$33,MATCH($A35,Gantt!$C$4:$C$33,0)),""))</f>
        <v/>
      </c>
      <c r="G35" s="81" t="str">
        <f aca="false">IF($A35="","",F35-SUMIF($A$4:$A$103,$A35,$C$4:$C$103))</f>
        <v/>
      </c>
    </row>
    <row r="36" customFormat="false" ht="15" hidden="false" customHeight="false" outlineLevel="0" collapsed="false">
      <c r="A36" s="62"/>
      <c r="B36" s="62"/>
      <c r="C36" s="70"/>
      <c r="D36" s="56" t="str">
        <f aca="false">IF($B36="","",IFERROR(VLOOKUP($B36,Financement!$A$4:$B$18,2,FALSE()),""))</f>
        <v/>
      </c>
      <c r="E36" s="63" t="str">
        <f aca="false">IF($A36="","",IFERROR(INDEX(Gantt!$B$4:$B$33,MATCH($A36,Gantt!$C$4:$C$33,0)),""))</f>
        <v/>
      </c>
      <c r="F36" s="63" t="str">
        <f aca="false">IF($A36="","",IFERROR(INDEX(Gantt!$G$4:$G$33,MATCH($A36,Gantt!$C$4:$C$33,0)),""))</f>
        <v/>
      </c>
      <c r="G36" s="56" t="str">
        <f aca="false">IF($A36="","",F36-SUMIF($A$4:$A$103,$A36,$C$4:$C$103))</f>
        <v/>
      </c>
    </row>
    <row r="37" customFormat="false" ht="15" hidden="false" customHeight="false" outlineLevel="0" collapsed="false">
      <c r="A37" s="62"/>
      <c r="B37" s="62"/>
      <c r="C37" s="70"/>
      <c r="D37" s="81" t="str">
        <f aca="false">IF($B37="","",IFERROR(VLOOKUP($B37,Financement!$A$4:$B$18,2,FALSE()),""))</f>
        <v/>
      </c>
      <c r="E37" s="79" t="str">
        <f aca="false">IF($A37="","",IFERROR(INDEX(Gantt!$B$4:$B$33,MATCH($A37,Gantt!$C$4:$C$33,0)),""))</f>
        <v/>
      </c>
      <c r="F37" s="79" t="str">
        <f aca="false">IF($A37="","",IFERROR(INDEX(Gantt!$G$4:$G$33,MATCH($A37,Gantt!$C$4:$C$33,0)),""))</f>
        <v/>
      </c>
      <c r="G37" s="81" t="str">
        <f aca="false">IF($A37="","",F37-SUMIF($A$4:$A$103,$A37,$C$4:$C$103))</f>
        <v/>
      </c>
    </row>
    <row r="38" customFormat="false" ht="15" hidden="false" customHeight="false" outlineLevel="0" collapsed="false">
      <c r="A38" s="62"/>
      <c r="B38" s="62"/>
      <c r="C38" s="70"/>
      <c r="D38" s="56" t="str">
        <f aca="false">IF($B38="","",IFERROR(VLOOKUP($B38,Financement!$A$4:$B$18,2,FALSE()),""))</f>
        <v/>
      </c>
      <c r="E38" s="63" t="str">
        <f aca="false">IF($A38="","",IFERROR(INDEX(Gantt!$B$4:$B$33,MATCH($A38,Gantt!$C$4:$C$33,0)),""))</f>
        <v/>
      </c>
      <c r="F38" s="63" t="str">
        <f aca="false">IF($A38="","",IFERROR(INDEX(Gantt!$G$4:$G$33,MATCH($A38,Gantt!$C$4:$C$33,0)),""))</f>
        <v/>
      </c>
      <c r="G38" s="56" t="str">
        <f aca="false">IF($A38="","",F38-SUMIF($A$4:$A$103,$A38,$C$4:$C$103))</f>
        <v/>
      </c>
    </row>
    <row r="39" customFormat="false" ht="15" hidden="false" customHeight="false" outlineLevel="0" collapsed="false">
      <c r="A39" s="62"/>
      <c r="B39" s="62"/>
      <c r="C39" s="70"/>
      <c r="D39" s="81" t="str">
        <f aca="false">IF($B39="","",IFERROR(VLOOKUP($B39,Financement!$A$4:$B$18,2,FALSE()),""))</f>
        <v/>
      </c>
      <c r="E39" s="79" t="str">
        <f aca="false">IF($A39="","",IFERROR(INDEX(Gantt!$B$4:$B$33,MATCH($A39,Gantt!$C$4:$C$33,0)),""))</f>
        <v/>
      </c>
      <c r="F39" s="79" t="str">
        <f aca="false">IF($A39="","",IFERROR(INDEX(Gantt!$G$4:$G$33,MATCH($A39,Gantt!$C$4:$C$33,0)),""))</f>
        <v/>
      </c>
      <c r="G39" s="81" t="str">
        <f aca="false">IF($A39="","",F39-SUMIF($A$4:$A$103,$A39,$C$4:$C$103))</f>
        <v/>
      </c>
    </row>
    <row r="40" customFormat="false" ht="15" hidden="false" customHeight="false" outlineLevel="0" collapsed="false">
      <c r="A40" s="62"/>
      <c r="B40" s="62"/>
      <c r="C40" s="70"/>
      <c r="D40" s="56" t="str">
        <f aca="false">IF($B40="","",IFERROR(VLOOKUP($B40,Financement!$A$4:$B$18,2,FALSE()),""))</f>
        <v/>
      </c>
      <c r="E40" s="63" t="str">
        <f aca="false">IF($A40="","",IFERROR(INDEX(Gantt!$B$4:$B$33,MATCH($A40,Gantt!$C$4:$C$33,0)),""))</f>
        <v/>
      </c>
      <c r="F40" s="63" t="str">
        <f aca="false">IF($A40="","",IFERROR(INDEX(Gantt!$G$4:$G$33,MATCH($A40,Gantt!$C$4:$C$33,0)),""))</f>
        <v/>
      </c>
      <c r="G40" s="56" t="str">
        <f aca="false">IF($A40="","",F40-SUMIF($A$4:$A$103,$A40,$C$4:$C$103))</f>
        <v/>
      </c>
    </row>
    <row r="41" customFormat="false" ht="15" hidden="false" customHeight="false" outlineLevel="0" collapsed="false">
      <c r="A41" s="62"/>
      <c r="B41" s="62"/>
      <c r="C41" s="70"/>
      <c r="D41" s="81" t="str">
        <f aca="false">IF($B41="","",IFERROR(VLOOKUP($B41,Financement!$A$4:$B$18,2,FALSE()),""))</f>
        <v/>
      </c>
      <c r="E41" s="79" t="str">
        <f aca="false">IF($A41="","",IFERROR(INDEX(Gantt!$B$4:$B$33,MATCH($A41,Gantt!$C$4:$C$33,0)),""))</f>
        <v/>
      </c>
      <c r="F41" s="79" t="str">
        <f aca="false">IF($A41="","",IFERROR(INDEX(Gantt!$G$4:$G$33,MATCH($A41,Gantt!$C$4:$C$33,0)),""))</f>
        <v/>
      </c>
      <c r="G41" s="81" t="str">
        <f aca="false">IF($A41="","",F41-SUMIF($A$4:$A$103,$A41,$C$4:$C$103))</f>
        <v/>
      </c>
    </row>
    <row r="42" customFormat="false" ht="15" hidden="false" customHeight="false" outlineLevel="0" collapsed="false">
      <c r="A42" s="62"/>
      <c r="B42" s="62"/>
      <c r="C42" s="70"/>
      <c r="D42" s="56" t="str">
        <f aca="false">IF($B42="","",IFERROR(VLOOKUP($B42,Financement!$A$4:$B$18,2,FALSE()),""))</f>
        <v/>
      </c>
      <c r="E42" s="63" t="str">
        <f aca="false">IF($A42="","",IFERROR(INDEX(Gantt!$B$4:$B$33,MATCH($A42,Gantt!$C$4:$C$33,0)),""))</f>
        <v/>
      </c>
      <c r="F42" s="63" t="str">
        <f aca="false">IF($A42="","",IFERROR(INDEX(Gantt!$G$4:$G$33,MATCH($A42,Gantt!$C$4:$C$33,0)),""))</f>
        <v/>
      </c>
      <c r="G42" s="56" t="str">
        <f aca="false">IF($A42="","",F42-SUMIF($A$4:$A$103,$A42,$C$4:$C$103))</f>
        <v/>
      </c>
    </row>
    <row r="43" customFormat="false" ht="15" hidden="false" customHeight="false" outlineLevel="0" collapsed="false">
      <c r="A43" s="62"/>
      <c r="B43" s="62"/>
      <c r="C43" s="70"/>
      <c r="D43" s="81" t="str">
        <f aca="false">IF($B43="","",IFERROR(VLOOKUP($B43,Financement!$A$4:$B$18,2,FALSE()),""))</f>
        <v/>
      </c>
      <c r="E43" s="79" t="str">
        <f aca="false">IF($A43="","",IFERROR(INDEX(Gantt!$B$4:$B$33,MATCH($A43,Gantt!$C$4:$C$33,0)),""))</f>
        <v/>
      </c>
      <c r="F43" s="79" t="str">
        <f aca="false">IF($A43="","",IFERROR(INDEX(Gantt!$G$4:$G$33,MATCH($A43,Gantt!$C$4:$C$33,0)),""))</f>
        <v/>
      </c>
      <c r="G43" s="81" t="str">
        <f aca="false">IF($A43="","",F43-SUMIF($A$4:$A$103,$A43,$C$4:$C$103))</f>
        <v/>
      </c>
    </row>
    <row r="44" customFormat="false" ht="15" hidden="false" customHeight="false" outlineLevel="0" collapsed="false">
      <c r="A44" s="62"/>
      <c r="B44" s="62"/>
      <c r="C44" s="70"/>
      <c r="D44" s="56" t="str">
        <f aca="false">IF($B44="","",IFERROR(VLOOKUP($B44,Financement!$A$4:$B$18,2,FALSE()),""))</f>
        <v/>
      </c>
      <c r="E44" s="63" t="str">
        <f aca="false">IF($A44="","",IFERROR(INDEX(Gantt!$B$4:$B$33,MATCH($A44,Gantt!$C$4:$C$33,0)),""))</f>
        <v/>
      </c>
      <c r="F44" s="63" t="str">
        <f aca="false">IF($A44="","",IFERROR(INDEX(Gantt!$G$4:$G$33,MATCH($A44,Gantt!$C$4:$C$33,0)),""))</f>
        <v/>
      </c>
      <c r="G44" s="56" t="str">
        <f aca="false">IF($A44="","",F44-SUMIF($A$4:$A$103,$A44,$C$4:$C$103))</f>
        <v/>
      </c>
    </row>
    <row r="45" customFormat="false" ht="15" hidden="false" customHeight="false" outlineLevel="0" collapsed="false">
      <c r="A45" s="62"/>
      <c r="B45" s="62"/>
      <c r="C45" s="70"/>
      <c r="D45" s="81" t="str">
        <f aca="false">IF($B45="","",IFERROR(VLOOKUP($B45,Financement!$A$4:$B$18,2,FALSE()),""))</f>
        <v/>
      </c>
      <c r="E45" s="79" t="str">
        <f aca="false">IF($A45="","",IFERROR(INDEX(Gantt!$B$4:$B$33,MATCH($A45,Gantt!$C$4:$C$33,0)),""))</f>
        <v/>
      </c>
      <c r="F45" s="79" t="str">
        <f aca="false">IF($A45="","",IFERROR(INDEX(Gantt!$G$4:$G$33,MATCH($A45,Gantt!$C$4:$C$33,0)),""))</f>
        <v/>
      </c>
      <c r="G45" s="81" t="str">
        <f aca="false">IF($A45="","",F45-SUMIF($A$4:$A$103,$A45,$C$4:$C$103))</f>
        <v/>
      </c>
    </row>
    <row r="46" customFormat="false" ht="15" hidden="false" customHeight="false" outlineLevel="0" collapsed="false">
      <c r="A46" s="62"/>
      <c r="B46" s="62"/>
      <c r="C46" s="70"/>
      <c r="D46" s="56" t="str">
        <f aca="false">IF($B46="","",IFERROR(VLOOKUP($B46,Financement!$A$4:$B$18,2,FALSE()),""))</f>
        <v/>
      </c>
      <c r="E46" s="63" t="str">
        <f aca="false">IF($A46="","",IFERROR(INDEX(Gantt!$B$4:$B$33,MATCH($A46,Gantt!$C$4:$C$33,0)),""))</f>
        <v/>
      </c>
      <c r="F46" s="63" t="str">
        <f aca="false">IF($A46="","",IFERROR(INDEX(Gantt!$G$4:$G$33,MATCH($A46,Gantt!$C$4:$C$33,0)),""))</f>
        <v/>
      </c>
      <c r="G46" s="56" t="str">
        <f aca="false">IF($A46="","",F46-SUMIF($A$4:$A$103,$A46,$C$4:$C$103))</f>
        <v/>
      </c>
    </row>
    <row r="47" customFormat="false" ht="15" hidden="false" customHeight="false" outlineLevel="0" collapsed="false">
      <c r="A47" s="62"/>
      <c r="B47" s="62"/>
      <c r="C47" s="70"/>
      <c r="D47" s="81" t="str">
        <f aca="false">IF($B47="","",IFERROR(VLOOKUP($B47,Financement!$A$4:$B$18,2,FALSE()),""))</f>
        <v/>
      </c>
      <c r="E47" s="79" t="str">
        <f aca="false">IF($A47="","",IFERROR(INDEX(Gantt!$B$4:$B$33,MATCH($A47,Gantt!$C$4:$C$33,0)),""))</f>
        <v/>
      </c>
      <c r="F47" s="79" t="str">
        <f aca="false">IF($A47="","",IFERROR(INDEX(Gantt!$G$4:$G$33,MATCH($A47,Gantt!$C$4:$C$33,0)),""))</f>
        <v/>
      </c>
      <c r="G47" s="81" t="str">
        <f aca="false">IF($A47="","",F47-SUMIF($A$4:$A$103,$A47,$C$4:$C$103))</f>
        <v/>
      </c>
    </row>
    <row r="48" customFormat="false" ht="15" hidden="false" customHeight="false" outlineLevel="0" collapsed="false">
      <c r="A48" s="62"/>
      <c r="B48" s="62"/>
      <c r="C48" s="70"/>
      <c r="D48" s="56" t="str">
        <f aca="false">IF($B48="","",IFERROR(VLOOKUP($B48,Financement!$A$4:$B$18,2,FALSE()),""))</f>
        <v/>
      </c>
      <c r="E48" s="63" t="str">
        <f aca="false">IF($A48="","",IFERROR(INDEX(Gantt!$B$4:$B$33,MATCH($A48,Gantt!$C$4:$C$33,0)),""))</f>
        <v/>
      </c>
      <c r="F48" s="63" t="str">
        <f aca="false">IF($A48="","",IFERROR(INDEX(Gantt!$G$4:$G$33,MATCH($A48,Gantt!$C$4:$C$33,0)),""))</f>
        <v/>
      </c>
      <c r="G48" s="56" t="str">
        <f aca="false">IF($A48="","",F48-SUMIF($A$4:$A$103,$A48,$C$4:$C$103))</f>
        <v/>
      </c>
    </row>
    <row r="49" customFormat="false" ht="15" hidden="false" customHeight="false" outlineLevel="0" collapsed="false">
      <c r="A49" s="62"/>
      <c r="B49" s="62"/>
      <c r="C49" s="70"/>
      <c r="D49" s="81" t="str">
        <f aca="false">IF($B49="","",IFERROR(VLOOKUP($B49,Financement!$A$4:$B$18,2,FALSE()),""))</f>
        <v/>
      </c>
      <c r="E49" s="79" t="str">
        <f aca="false">IF($A49="","",IFERROR(INDEX(Gantt!$B$4:$B$33,MATCH($A49,Gantt!$C$4:$C$33,0)),""))</f>
        <v/>
      </c>
      <c r="F49" s="79" t="str">
        <f aca="false">IF($A49="","",IFERROR(INDEX(Gantt!$G$4:$G$33,MATCH($A49,Gantt!$C$4:$C$33,0)),""))</f>
        <v/>
      </c>
      <c r="G49" s="81" t="str">
        <f aca="false">IF($A49="","",F49-SUMIF($A$4:$A$103,$A49,$C$4:$C$103))</f>
        <v/>
      </c>
    </row>
    <row r="50" customFormat="false" ht="15" hidden="false" customHeight="false" outlineLevel="0" collapsed="false">
      <c r="A50" s="62"/>
      <c r="B50" s="62"/>
      <c r="C50" s="70"/>
      <c r="D50" s="56" t="str">
        <f aca="false">IF($B50="","",IFERROR(VLOOKUP($B50,Financement!$A$4:$B$18,2,FALSE()),""))</f>
        <v/>
      </c>
      <c r="E50" s="63" t="str">
        <f aca="false">IF($A50="","",IFERROR(INDEX(Gantt!$B$4:$B$33,MATCH($A50,Gantt!$C$4:$C$33,0)),""))</f>
        <v/>
      </c>
      <c r="F50" s="63" t="str">
        <f aca="false">IF($A50="","",IFERROR(INDEX(Gantt!$G$4:$G$33,MATCH($A50,Gantt!$C$4:$C$33,0)),""))</f>
        <v/>
      </c>
      <c r="G50" s="56" t="str">
        <f aca="false">IF($A50="","",F50-SUMIF($A$4:$A$103,$A50,$C$4:$C$103))</f>
        <v/>
      </c>
    </row>
    <row r="51" customFormat="false" ht="15" hidden="false" customHeight="false" outlineLevel="0" collapsed="false">
      <c r="A51" s="62"/>
      <c r="B51" s="62"/>
      <c r="C51" s="70"/>
      <c r="D51" s="81" t="str">
        <f aca="false">IF($B51="","",IFERROR(VLOOKUP($B51,Financement!$A$4:$B$18,2,FALSE()),""))</f>
        <v/>
      </c>
      <c r="E51" s="79" t="str">
        <f aca="false">IF($A51="","",IFERROR(INDEX(Gantt!$B$4:$B$33,MATCH($A51,Gantt!$C$4:$C$33,0)),""))</f>
        <v/>
      </c>
      <c r="F51" s="79" t="str">
        <f aca="false">IF($A51="","",IFERROR(INDEX(Gantt!$G$4:$G$33,MATCH($A51,Gantt!$C$4:$C$33,0)),""))</f>
        <v/>
      </c>
      <c r="G51" s="81" t="str">
        <f aca="false">IF($A51="","",F51-SUMIF($A$4:$A$103,$A51,$C$4:$C$103))</f>
        <v/>
      </c>
    </row>
    <row r="52" customFormat="false" ht="15" hidden="false" customHeight="false" outlineLevel="0" collapsed="false">
      <c r="A52" s="62"/>
      <c r="B52" s="62"/>
      <c r="C52" s="70"/>
      <c r="D52" s="56" t="str">
        <f aca="false">IF($B52="","",IFERROR(VLOOKUP($B52,Financement!$A$4:$B$18,2,FALSE()),""))</f>
        <v/>
      </c>
      <c r="E52" s="63" t="str">
        <f aca="false">IF($A52="","",IFERROR(INDEX(Gantt!$B$4:$B$33,MATCH($A52,Gantt!$C$4:$C$33,0)),""))</f>
        <v/>
      </c>
      <c r="F52" s="63" t="str">
        <f aca="false">IF($A52="","",IFERROR(INDEX(Gantt!$G$4:$G$33,MATCH($A52,Gantt!$C$4:$C$33,0)),""))</f>
        <v/>
      </c>
      <c r="G52" s="56" t="str">
        <f aca="false">IF($A52="","",F52-SUMIF($A$4:$A$103,$A52,$C$4:$C$103))</f>
        <v/>
      </c>
    </row>
    <row r="53" customFormat="false" ht="15" hidden="false" customHeight="false" outlineLevel="0" collapsed="false">
      <c r="A53" s="62"/>
      <c r="B53" s="62"/>
      <c r="C53" s="70"/>
      <c r="D53" s="81" t="str">
        <f aca="false">IF($B53="","",IFERROR(VLOOKUP($B53,Financement!$A$4:$B$18,2,FALSE()),""))</f>
        <v/>
      </c>
      <c r="E53" s="79" t="str">
        <f aca="false">IF($A53="","",IFERROR(INDEX(Gantt!$B$4:$B$33,MATCH($A53,Gantt!$C$4:$C$33,0)),""))</f>
        <v/>
      </c>
      <c r="F53" s="79" t="str">
        <f aca="false">IF($A53="","",IFERROR(INDEX(Gantt!$G$4:$G$33,MATCH($A53,Gantt!$C$4:$C$33,0)),""))</f>
        <v/>
      </c>
      <c r="G53" s="81" t="str">
        <f aca="false">IF($A53="","",F53-SUMIF($A$4:$A$103,$A53,$C$4:$C$103))</f>
        <v/>
      </c>
    </row>
    <row r="54" customFormat="false" ht="15" hidden="false" customHeight="false" outlineLevel="0" collapsed="false">
      <c r="A54" s="62"/>
      <c r="B54" s="62"/>
      <c r="C54" s="70"/>
      <c r="D54" s="56" t="str">
        <f aca="false">IF($B54="","",IFERROR(VLOOKUP($B54,Financement!$A$4:$B$18,2,FALSE()),""))</f>
        <v/>
      </c>
      <c r="E54" s="63" t="str">
        <f aca="false">IF($A54="","",IFERROR(INDEX(Gantt!$B$4:$B$33,MATCH($A54,Gantt!$C$4:$C$33,0)),""))</f>
        <v/>
      </c>
      <c r="F54" s="63" t="str">
        <f aca="false">IF($A54="","",IFERROR(INDEX(Gantt!$G$4:$G$33,MATCH($A54,Gantt!$C$4:$C$33,0)),""))</f>
        <v/>
      </c>
      <c r="G54" s="56" t="str">
        <f aca="false">IF($A54="","",F54-SUMIF($A$4:$A$103,$A54,$C$4:$C$103))</f>
        <v/>
      </c>
    </row>
    <row r="55" customFormat="false" ht="15" hidden="false" customHeight="false" outlineLevel="0" collapsed="false">
      <c r="A55" s="62"/>
      <c r="B55" s="62"/>
      <c r="C55" s="70"/>
      <c r="D55" s="81" t="str">
        <f aca="false">IF($B55="","",IFERROR(VLOOKUP($B55,Financement!$A$4:$B$18,2,FALSE()),""))</f>
        <v/>
      </c>
      <c r="E55" s="79" t="str">
        <f aca="false">IF($A55="","",IFERROR(INDEX(Gantt!$B$4:$B$33,MATCH($A55,Gantt!$C$4:$C$33,0)),""))</f>
        <v/>
      </c>
      <c r="F55" s="79" t="str">
        <f aca="false">IF($A55="","",IFERROR(INDEX(Gantt!$G$4:$G$33,MATCH($A55,Gantt!$C$4:$C$33,0)),""))</f>
        <v/>
      </c>
      <c r="G55" s="81" t="str">
        <f aca="false">IF($A55="","",F55-SUMIF($A$4:$A$103,$A55,$C$4:$C$103))</f>
        <v/>
      </c>
    </row>
    <row r="56" customFormat="false" ht="15" hidden="false" customHeight="false" outlineLevel="0" collapsed="false">
      <c r="A56" s="62"/>
      <c r="B56" s="62"/>
      <c r="C56" s="70"/>
      <c r="D56" s="56" t="str">
        <f aca="false">IF($B56="","",IFERROR(VLOOKUP($B56,Financement!$A$4:$B$18,2,FALSE()),""))</f>
        <v/>
      </c>
      <c r="E56" s="63" t="str">
        <f aca="false">IF($A56="","",IFERROR(INDEX(Gantt!$B$4:$B$33,MATCH($A56,Gantt!$C$4:$C$33,0)),""))</f>
        <v/>
      </c>
      <c r="F56" s="63" t="str">
        <f aca="false">IF($A56="","",IFERROR(INDEX(Gantt!$G$4:$G$33,MATCH($A56,Gantt!$C$4:$C$33,0)),""))</f>
        <v/>
      </c>
      <c r="G56" s="56" t="str">
        <f aca="false">IF($A56="","",F56-SUMIF($A$4:$A$103,$A56,$C$4:$C$103))</f>
        <v/>
      </c>
    </row>
    <row r="57" customFormat="false" ht="15" hidden="false" customHeight="false" outlineLevel="0" collapsed="false">
      <c r="A57" s="62"/>
      <c r="B57" s="62"/>
      <c r="C57" s="70"/>
      <c r="D57" s="81" t="str">
        <f aca="false">IF($B57="","",IFERROR(VLOOKUP($B57,Financement!$A$4:$B$18,2,FALSE()),""))</f>
        <v/>
      </c>
      <c r="E57" s="79" t="str">
        <f aca="false">IF($A57="","",IFERROR(INDEX(Gantt!$B$4:$B$33,MATCH($A57,Gantt!$C$4:$C$33,0)),""))</f>
        <v/>
      </c>
      <c r="F57" s="79" t="str">
        <f aca="false">IF($A57="","",IFERROR(INDEX(Gantt!$G$4:$G$33,MATCH($A57,Gantt!$C$4:$C$33,0)),""))</f>
        <v/>
      </c>
      <c r="G57" s="81" t="str">
        <f aca="false">IF($A57="","",F57-SUMIF($A$4:$A$103,$A57,$C$4:$C$103))</f>
        <v/>
      </c>
    </row>
    <row r="58" customFormat="false" ht="15" hidden="false" customHeight="false" outlineLevel="0" collapsed="false">
      <c r="A58" s="62"/>
      <c r="B58" s="62"/>
      <c r="C58" s="70"/>
      <c r="D58" s="56" t="str">
        <f aca="false">IF($B58="","",IFERROR(VLOOKUP($B58,Financement!$A$4:$B$18,2,FALSE()),""))</f>
        <v/>
      </c>
      <c r="E58" s="63" t="str">
        <f aca="false">IF($A58="","",IFERROR(INDEX(Gantt!$B$4:$B$33,MATCH($A58,Gantt!$C$4:$C$33,0)),""))</f>
        <v/>
      </c>
      <c r="F58" s="63" t="str">
        <f aca="false">IF($A58="","",IFERROR(INDEX(Gantt!$G$4:$G$33,MATCH($A58,Gantt!$C$4:$C$33,0)),""))</f>
        <v/>
      </c>
      <c r="G58" s="56" t="str">
        <f aca="false">IF($A58="","",F58-SUMIF($A$4:$A$103,$A58,$C$4:$C$103))</f>
        <v/>
      </c>
    </row>
    <row r="59" customFormat="false" ht="15" hidden="false" customHeight="false" outlineLevel="0" collapsed="false">
      <c r="A59" s="62"/>
      <c r="B59" s="62"/>
      <c r="C59" s="70"/>
      <c r="D59" s="81" t="str">
        <f aca="false">IF($B59="","",IFERROR(VLOOKUP($B59,Financement!$A$4:$B$18,2,FALSE()),""))</f>
        <v/>
      </c>
      <c r="E59" s="79" t="str">
        <f aca="false">IF($A59="","",IFERROR(INDEX(Gantt!$B$4:$B$33,MATCH($A59,Gantt!$C$4:$C$33,0)),""))</f>
        <v/>
      </c>
      <c r="F59" s="79" t="str">
        <f aca="false">IF($A59="","",IFERROR(INDEX(Gantt!$G$4:$G$33,MATCH($A59,Gantt!$C$4:$C$33,0)),""))</f>
        <v/>
      </c>
      <c r="G59" s="81" t="str">
        <f aca="false">IF($A59="","",F59-SUMIF($A$4:$A$103,$A59,$C$4:$C$103))</f>
        <v/>
      </c>
    </row>
    <row r="60" customFormat="false" ht="15" hidden="false" customHeight="false" outlineLevel="0" collapsed="false">
      <c r="A60" s="62"/>
      <c r="B60" s="62"/>
      <c r="C60" s="70"/>
      <c r="D60" s="56" t="str">
        <f aca="false">IF($B60="","",IFERROR(VLOOKUP($B60,Financement!$A$4:$B$18,2,FALSE()),""))</f>
        <v/>
      </c>
      <c r="E60" s="63" t="str">
        <f aca="false">IF($A60="","",IFERROR(INDEX(Gantt!$B$4:$B$33,MATCH($A60,Gantt!$C$4:$C$33,0)),""))</f>
        <v/>
      </c>
      <c r="F60" s="63" t="str">
        <f aca="false">IF($A60="","",IFERROR(INDEX(Gantt!$G$4:$G$33,MATCH($A60,Gantt!$C$4:$C$33,0)),""))</f>
        <v/>
      </c>
      <c r="G60" s="56" t="str">
        <f aca="false">IF($A60="","",F60-SUMIF($A$4:$A$103,$A60,$C$4:$C$103))</f>
        <v/>
      </c>
    </row>
    <row r="61" customFormat="false" ht="15" hidden="false" customHeight="false" outlineLevel="0" collapsed="false">
      <c r="A61" s="62"/>
      <c r="B61" s="62"/>
      <c r="C61" s="70"/>
      <c r="D61" s="81" t="str">
        <f aca="false">IF($B61="","",IFERROR(VLOOKUP($B61,Financement!$A$4:$B$18,2,FALSE()),""))</f>
        <v/>
      </c>
      <c r="E61" s="79" t="str">
        <f aca="false">IF($A61="","",IFERROR(INDEX(Gantt!$B$4:$B$33,MATCH($A61,Gantt!$C$4:$C$33,0)),""))</f>
        <v/>
      </c>
      <c r="F61" s="79" t="str">
        <f aca="false">IF($A61="","",IFERROR(INDEX(Gantt!$G$4:$G$33,MATCH($A61,Gantt!$C$4:$C$33,0)),""))</f>
        <v/>
      </c>
      <c r="G61" s="81" t="str">
        <f aca="false">IF($A61="","",F61-SUMIF($A$4:$A$103,$A61,$C$4:$C$103))</f>
        <v/>
      </c>
    </row>
    <row r="62" customFormat="false" ht="15" hidden="false" customHeight="false" outlineLevel="0" collapsed="false">
      <c r="A62" s="62"/>
      <c r="B62" s="62"/>
      <c r="C62" s="70"/>
      <c r="D62" s="56" t="str">
        <f aca="false">IF($B62="","",IFERROR(VLOOKUP($B62,Financement!$A$4:$B$18,2,FALSE()),""))</f>
        <v/>
      </c>
      <c r="E62" s="63" t="str">
        <f aca="false">IF($A62="","",IFERROR(INDEX(Gantt!$B$4:$B$33,MATCH($A62,Gantt!$C$4:$C$33,0)),""))</f>
        <v/>
      </c>
      <c r="F62" s="63" t="str">
        <f aca="false">IF($A62="","",IFERROR(INDEX(Gantt!$G$4:$G$33,MATCH($A62,Gantt!$C$4:$C$33,0)),""))</f>
        <v/>
      </c>
      <c r="G62" s="56" t="str">
        <f aca="false">IF($A62="","",F62-SUMIF($A$4:$A$103,$A62,$C$4:$C$103))</f>
        <v/>
      </c>
    </row>
    <row r="63" customFormat="false" ht="15" hidden="false" customHeight="false" outlineLevel="0" collapsed="false">
      <c r="A63" s="62"/>
      <c r="B63" s="62"/>
      <c r="C63" s="70"/>
      <c r="D63" s="81" t="str">
        <f aca="false">IF($B63="","",IFERROR(VLOOKUP($B63,Financement!$A$4:$B$18,2,FALSE()),""))</f>
        <v/>
      </c>
      <c r="E63" s="79" t="str">
        <f aca="false">IF($A63="","",IFERROR(INDEX(Gantt!$B$4:$B$33,MATCH($A63,Gantt!$C$4:$C$33,0)),""))</f>
        <v/>
      </c>
      <c r="F63" s="79" t="str">
        <f aca="false">IF($A63="","",IFERROR(INDEX(Gantt!$G$4:$G$33,MATCH($A63,Gantt!$C$4:$C$33,0)),""))</f>
        <v/>
      </c>
      <c r="G63" s="81" t="str">
        <f aca="false">IF($A63="","",F63-SUMIF($A$4:$A$103,$A63,$C$4:$C$103))</f>
        <v/>
      </c>
    </row>
    <row r="64" customFormat="false" ht="15" hidden="false" customHeight="false" outlineLevel="0" collapsed="false">
      <c r="A64" s="62"/>
      <c r="B64" s="62"/>
      <c r="C64" s="70"/>
      <c r="D64" s="56" t="str">
        <f aca="false">IF($B64="","",IFERROR(VLOOKUP($B64,Financement!$A$4:$B$18,2,FALSE()),""))</f>
        <v/>
      </c>
      <c r="E64" s="63" t="str">
        <f aca="false">IF($A64="","",IFERROR(INDEX(Gantt!$B$4:$B$33,MATCH($A64,Gantt!$C$4:$C$33,0)),""))</f>
        <v/>
      </c>
      <c r="F64" s="63" t="str">
        <f aca="false">IF($A64="","",IFERROR(INDEX(Gantt!$G$4:$G$33,MATCH($A64,Gantt!$C$4:$C$33,0)),""))</f>
        <v/>
      </c>
      <c r="G64" s="56" t="str">
        <f aca="false">IF($A64="","",F64-SUMIF($A$4:$A$103,$A64,$C$4:$C$103))</f>
        <v/>
      </c>
    </row>
    <row r="65" customFormat="false" ht="15" hidden="false" customHeight="false" outlineLevel="0" collapsed="false">
      <c r="A65" s="62"/>
      <c r="B65" s="62"/>
      <c r="C65" s="70"/>
      <c r="D65" s="81" t="str">
        <f aca="false">IF($B65="","",IFERROR(VLOOKUP($B65,Financement!$A$4:$B$18,2,FALSE()),""))</f>
        <v/>
      </c>
      <c r="E65" s="79" t="str">
        <f aca="false">IF($A65="","",IFERROR(INDEX(Gantt!$B$4:$B$33,MATCH($A65,Gantt!$C$4:$C$33,0)),""))</f>
        <v/>
      </c>
      <c r="F65" s="79" t="str">
        <f aca="false">IF($A65="","",IFERROR(INDEX(Gantt!$G$4:$G$33,MATCH($A65,Gantt!$C$4:$C$33,0)),""))</f>
        <v/>
      </c>
      <c r="G65" s="81" t="str">
        <f aca="false">IF($A65="","",F65-SUMIF($A$4:$A$103,$A65,$C$4:$C$103))</f>
        <v/>
      </c>
    </row>
    <row r="66" customFormat="false" ht="15" hidden="false" customHeight="false" outlineLevel="0" collapsed="false">
      <c r="A66" s="62"/>
      <c r="B66" s="62"/>
      <c r="C66" s="70"/>
      <c r="D66" s="56" t="str">
        <f aca="false">IF($B66="","",IFERROR(VLOOKUP($B66,Financement!$A$4:$B$18,2,FALSE()),""))</f>
        <v/>
      </c>
      <c r="E66" s="63" t="str">
        <f aca="false">IF($A66="","",IFERROR(INDEX(Gantt!$B$4:$B$33,MATCH($A66,Gantt!$C$4:$C$33,0)),""))</f>
        <v/>
      </c>
      <c r="F66" s="63" t="str">
        <f aca="false">IF($A66="","",IFERROR(INDEX(Gantt!$G$4:$G$33,MATCH($A66,Gantt!$C$4:$C$33,0)),""))</f>
        <v/>
      </c>
      <c r="G66" s="56" t="str">
        <f aca="false">IF($A66="","",F66-SUMIF($A$4:$A$103,$A66,$C$4:$C$103))</f>
        <v/>
      </c>
    </row>
    <row r="67" customFormat="false" ht="15" hidden="false" customHeight="false" outlineLevel="0" collapsed="false">
      <c r="A67" s="62"/>
      <c r="B67" s="62"/>
      <c r="C67" s="70"/>
      <c r="D67" s="81" t="str">
        <f aca="false">IF($B67="","",IFERROR(VLOOKUP($B67,Financement!$A$4:$B$18,2,FALSE()),""))</f>
        <v/>
      </c>
      <c r="E67" s="79" t="str">
        <f aca="false">IF($A67="","",IFERROR(INDEX(Gantt!$B$4:$B$33,MATCH($A67,Gantt!$C$4:$C$33,0)),""))</f>
        <v/>
      </c>
      <c r="F67" s="79" t="str">
        <f aca="false">IF($A67="","",IFERROR(INDEX(Gantt!$G$4:$G$33,MATCH($A67,Gantt!$C$4:$C$33,0)),""))</f>
        <v/>
      </c>
      <c r="G67" s="81" t="str">
        <f aca="false">IF($A67="","",F67-SUMIF($A$4:$A$103,$A67,$C$4:$C$103))</f>
        <v/>
      </c>
    </row>
    <row r="68" customFormat="false" ht="15" hidden="false" customHeight="false" outlineLevel="0" collapsed="false">
      <c r="A68" s="62"/>
      <c r="B68" s="62"/>
      <c r="C68" s="70"/>
      <c r="D68" s="56" t="str">
        <f aca="false">IF($B68="","",IFERROR(VLOOKUP($B68,Financement!$A$4:$B$18,2,FALSE()),""))</f>
        <v/>
      </c>
      <c r="E68" s="63" t="str">
        <f aca="false">IF($A68="","",IFERROR(INDEX(Gantt!$B$4:$B$33,MATCH($A68,Gantt!$C$4:$C$33,0)),""))</f>
        <v/>
      </c>
      <c r="F68" s="63" t="str">
        <f aca="false">IF($A68="","",IFERROR(INDEX(Gantt!$G$4:$G$33,MATCH($A68,Gantt!$C$4:$C$33,0)),""))</f>
        <v/>
      </c>
      <c r="G68" s="56" t="str">
        <f aca="false">IF($A68="","",F68-SUMIF($A$4:$A$103,$A68,$C$4:$C$103))</f>
        <v/>
      </c>
    </row>
    <row r="69" customFormat="false" ht="15" hidden="false" customHeight="false" outlineLevel="0" collapsed="false">
      <c r="A69" s="62"/>
      <c r="B69" s="62"/>
      <c r="C69" s="70"/>
      <c r="D69" s="81" t="str">
        <f aca="false">IF($B69="","",IFERROR(VLOOKUP($B69,Financement!$A$4:$B$18,2,FALSE()),""))</f>
        <v/>
      </c>
      <c r="E69" s="79" t="str">
        <f aca="false">IF($A69="","",IFERROR(INDEX(Gantt!$B$4:$B$33,MATCH($A69,Gantt!$C$4:$C$33,0)),""))</f>
        <v/>
      </c>
      <c r="F69" s="79" t="str">
        <f aca="false">IF($A69="","",IFERROR(INDEX(Gantt!$G$4:$G$33,MATCH($A69,Gantt!$C$4:$C$33,0)),""))</f>
        <v/>
      </c>
      <c r="G69" s="81" t="str">
        <f aca="false">IF($A69="","",F69-SUMIF($A$4:$A$103,$A69,$C$4:$C$103))</f>
        <v/>
      </c>
    </row>
    <row r="70" customFormat="false" ht="15" hidden="false" customHeight="false" outlineLevel="0" collapsed="false">
      <c r="A70" s="62"/>
      <c r="B70" s="62"/>
      <c r="C70" s="70"/>
      <c r="D70" s="56" t="str">
        <f aca="false">IF($B70="","",IFERROR(VLOOKUP($B70,Financement!$A$4:$B$18,2,FALSE()),""))</f>
        <v/>
      </c>
      <c r="E70" s="63" t="str">
        <f aca="false">IF($A70="","",IFERROR(INDEX(Gantt!$B$4:$B$33,MATCH($A70,Gantt!$C$4:$C$33,0)),""))</f>
        <v/>
      </c>
      <c r="F70" s="63" t="str">
        <f aca="false">IF($A70="","",IFERROR(INDEX(Gantt!$G$4:$G$33,MATCH($A70,Gantt!$C$4:$C$33,0)),""))</f>
        <v/>
      </c>
      <c r="G70" s="56" t="str">
        <f aca="false">IF($A70="","",F70-SUMIF($A$4:$A$103,$A70,$C$4:$C$103))</f>
        <v/>
      </c>
    </row>
    <row r="71" customFormat="false" ht="15" hidden="false" customHeight="false" outlineLevel="0" collapsed="false">
      <c r="A71" s="62"/>
      <c r="B71" s="62"/>
      <c r="C71" s="70"/>
      <c r="D71" s="81" t="str">
        <f aca="false">IF($B71="","",IFERROR(VLOOKUP($B71,Financement!$A$4:$B$18,2,FALSE()),""))</f>
        <v/>
      </c>
      <c r="E71" s="79" t="str">
        <f aca="false">IF($A71="","",IFERROR(INDEX(Gantt!$B$4:$B$33,MATCH($A71,Gantt!$C$4:$C$33,0)),""))</f>
        <v/>
      </c>
      <c r="F71" s="79" t="str">
        <f aca="false">IF($A71="","",IFERROR(INDEX(Gantt!$G$4:$G$33,MATCH($A71,Gantt!$C$4:$C$33,0)),""))</f>
        <v/>
      </c>
      <c r="G71" s="81" t="str">
        <f aca="false">IF($A71="","",F71-SUMIF($A$4:$A$103,$A71,$C$4:$C$103))</f>
        <v/>
      </c>
    </row>
    <row r="72" customFormat="false" ht="15" hidden="false" customHeight="false" outlineLevel="0" collapsed="false">
      <c r="A72" s="62"/>
      <c r="B72" s="62"/>
      <c r="C72" s="70"/>
      <c r="D72" s="56" t="str">
        <f aca="false">IF($B72="","",IFERROR(VLOOKUP($B72,Financement!$A$4:$B$18,2,FALSE()),""))</f>
        <v/>
      </c>
      <c r="E72" s="63" t="str">
        <f aca="false">IF($A72="","",IFERROR(INDEX(Gantt!$B$4:$B$33,MATCH($A72,Gantt!$C$4:$C$33,0)),""))</f>
        <v/>
      </c>
      <c r="F72" s="63" t="str">
        <f aca="false">IF($A72="","",IFERROR(INDEX(Gantt!$G$4:$G$33,MATCH($A72,Gantt!$C$4:$C$33,0)),""))</f>
        <v/>
      </c>
      <c r="G72" s="56" t="str">
        <f aca="false">IF($A72="","",F72-SUMIF($A$4:$A$103,$A72,$C$4:$C$103))</f>
        <v/>
      </c>
    </row>
    <row r="73" customFormat="false" ht="15" hidden="false" customHeight="false" outlineLevel="0" collapsed="false">
      <c r="A73" s="62"/>
      <c r="B73" s="62"/>
      <c r="C73" s="70"/>
      <c r="D73" s="81" t="str">
        <f aca="false">IF($B73="","",IFERROR(VLOOKUP($B73,Financement!$A$4:$B$18,2,FALSE()),""))</f>
        <v/>
      </c>
      <c r="E73" s="79" t="str">
        <f aca="false">IF($A73="","",IFERROR(INDEX(Gantt!$B$4:$B$33,MATCH($A73,Gantt!$C$4:$C$33,0)),""))</f>
        <v/>
      </c>
      <c r="F73" s="79" t="str">
        <f aca="false">IF($A73="","",IFERROR(INDEX(Gantt!$G$4:$G$33,MATCH($A73,Gantt!$C$4:$C$33,0)),""))</f>
        <v/>
      </c>
      <c r="G73" s="81" t="str">
        <f aca="false">IF($A73="","",F73-SUMIF($A$4:$A$103,$A73,$C$4:$C$103))</f>
        <v/>
      </c>
    </row>
    <row r="74" customFormat="false" ht="15" hidden="false" customHeight="false" outlineLevel="0" collapsed="false">
      <c r="A74" s="62"/>
      <c r="B74" s="62"/>
      <c r="C74" s="70"/>
      <c r="D74" s="56" t="str">
        <f aca="false">IF($B74="","",IFERROR(VLOOKUP($B74,Financement!$A$4:$B$18,2,FALSE()),""))</f>
        <v/>
      </c>
      <c r="E74" s="63" t="str">
        <f aca="false">IF($A74="","",IFERROR(INDEX(Gantt!$B$4:$B$33,MATCH($A74,Gantt!$C$4:$C$33,0)),""))</f>
        <v/>
      </c>
      <c r="F74" s="63" t="str">
        <f aca="false">IF($A74="","",IFERROR(INDEX(Gantt!$G$4:$G$33,MATCH($A74,Gantt!$C$4:$C$33,0)),""))</f>
        <v/>
      </c>
      <c r="G74" s="56" t="str">
        <f aca="false">IF($A74="","",F74-SUMIF($A$4:$A$103,$A74,$C$4:$C$103))</f>
        <v/>
      </c>
    </row>
    <row r="75" customFormat="false" ht="15" hidden="false" customHeight="false" outlineLevel="0" collapsed="false">
      <c r="A75" s="62"/>
      <c r="B75" s="62"/>
      <c r="C75" s="70"/>
      <c r="D75" s="81" t="str">
        <f aca="false">IF($B75="","",IFERROR(VLOOKUP($B75,Financement!$A$4:$B$18,2,FALSE()),""))</f>
        <v/>
      </c>
      <c r="E75" s="79" t="str">
        <f aca="false">IF($A75="","",IFERROR(INDEX(Gantt!$B$4:$B$33,MATCH($A75,Gantt!$C$4:$C$33,0)),""))</f>
        <v/>
      </c>
      <c r="F75" s="79" t="str">
        <f aca="false">IF($A75="","",IFERROR(INDEX(Gantt!$G$4:$G$33,MATCH($A75,Gantt!$C$4:$C$33,0)),""))</f>
        <v/>
      </c>
      <c r="G75" s="81" t="str">
        <f aca="false">IF($A75="","",F75-SUMIF($A$4:$A$103,$A75,$C$4:$C$103))</f>
        <v/>
      </c>
    </row>
    <row r="76" customFormat="false" ht="15" hidden="false" customHeight="false" outlineLevel="0" collapsed="false">
      <c r="A76" s="62"/>
      <c r="B76" s="62"/>
      <c r="C76" s="70"/>
      <c r="D76" s="56" t="str">
        <f aca="false">IF($B76="","",IFERROR(VLOOKUP($B76,Financement!$A$4:$B$18,2,FALSE()),""))</f>
        <v/>
      </c>
      <c r="E76" s="63" t="str">
        <f aca="false">IF($A76="","",IFERROR(INDEX(Gantt!$B$4:$B$33,MATCH($A76,Gantt!$C$4:$C$33,0)),""))</f>
        <v/>
      </c>
      <c r="F76" s="63" t="str">
        <f aca="false">IF($A76="","",IFERROR(INDEX(Gantt!$G$4:$G$33,MATCH($A76,Gantt!$C$4:$C$33,0)),""))</f>
        <v/>
      </c>
      <c r="G76" s="56" t="str">
        <f aca="false">IF($A76="","",F76-SUMIF($A$4:$A$103,$A76,$C$4:$C$103))</f>
        <v/>
      </c>
    </row>
    <row r="77" customFormat="false" ht="15" hidden="false" customHeight="false" outlineLevel="0" collapsed="false">
      <c r="A77" s="62"/>
      <c r="B77" s="62"/>
      <c r="C77" s="70"/>
      <c r="D77" s="81" t="str">
        <f aca="false">IF($B77="","",IFERROR(VLOOKUP($B77,Financement!$A$4:$B$18,2,FALSE()),""))</f>
        <v/>
      </c>
      <c r="E77" s="79" t="str">
        <f aca="false">IF($A77="","",IFERROR(INDEX(Gantt!$B$4:$B$33,MATCH($A77,Gantt!$C$4:$C$33,0)),""))</f>
        <v/>
      </c>
      <c r="F77" s="79" t="str">
        <f aca="false">IF($A77="","",IFERROR(INDEX(Gantt!$G$4:$G$33,MATCH($A77,Gantt!$C$4:$C$33,0)),""))</f>
        <v/>
      </c>
      <c r="G77" s="81" t="str">
        <f aca="false">IF($A77="","",F77-SUMIF($A$4:$A$103,$A77,$C$4:$C$103))</f>
        <v/>
      </c>
    </row>
    <row r="78" customFormat="false" ht="15" hidden="false" customHeight="false" outlineLevel="0" collapsed="false">
      <c r="A78" s="62"/>
      <c r="B78" s="62"/>
      <c r="C78" s="70"/>
      <c r="D78" s="56" t="str">
        <f aca="false">IF($B78="","",IFERROR(VLOOKUP($B78,Financement!$A$4:$B$18,2,FALSE()),""))</f>
        <v/>
      </c>
      <c r="E78" s="63" t="str">
        <f aca="false">IF($A78="","",IFERROR(INDEX(Gantt!$B$4:$B$33,MATCH($A78,Gantt!$C$4:$C$33,0)),""))</f>
        <v/>
      </c>
      <c r="F78" s="63" t="str">
        <f aca="false">IF($A78="","",IFERROR(INDEX(Gantt!$G$4:$G$33,MATCH($A78,Gantt!$C$4:$C$33,0)),""))</f>
        <v/>
      </c>
      <c r="G78" s="56" t="str">
        <f aca="false">IF($A78="","",F78-SUMIF($A$4:$A$103,$A78,$C$4:$C$103))</f>
        <v/>
      </c>
    </row>
    <row r="79" customFormat="false" ht="15" hidden="false" customHeight="false" outlineLevel="0" collapsed="false">
      <c r="A79" s="62"/>
      <c r="B79" s="62"/>
      <c r="C79" s="70"/>
      <c r="D79" s="81" t="str">
        <f aca="false">IF($B79="","",IFERROR(VLOOKUP($B79,Financement!$A$4:$B$18,2,FALSE()),""))</f>
        <v/>
      </c>
      <c r="E79" s="79" t="str">
        <f aca="false">IF($A79="","",IFERROR(INDEX(Gantt!$B$4:$B$33,MATCH($A79,Gantt!$C$4:$C$33,0)),""))</f>
        <v/>
      </c>
      <c r="F79" s="79" t="str">
        <f aca="false">IF($A79="","",IFERROR(INDEX(Gantt!$G$4:$G$33,MATCH($A79,Gantt!$C$4:$C$33,0)),""))</f>
        <v/>
      </c>
      <c r="G79" s="81" t="str">
        <f aca="false">IF($A79="","",F79-SUMIF($A$4:$A$103,$A79,$C$4:$C$103))</f>
        <v/>
      </c>
    </row>
    <row r="80" customFormat="false" ht="15" hidden="false" customHeight="false" outlineLevel="0" collapsed="false">
      <c r="A80" s="62"/>
      <c r="B80" s="62"/>
      <c r="C80" s="70"/>
      <c r="D80" s="56" t="str">
        <f aca="false">IF($B80="","",IFERROR(VLOOKUP($B80,Financement!$A$4:$B$18,2,FALSE()),""))</f>
        <v/>
      </c>
      <c r="E80" s="63" t="str">
        <f aca="false">IF($A80="","",IFERROR(INDEX(Gantt!$B$4:$B$33,MATCH($A80,Gantt!$C$4:$C$33,0)),""))</f>
        <v/>
      </c>
      <c r="F80" s="63" t="str">
        <f aca="false">IF($A80="","",IFERROR(INDEX(Gantt!$G$4:$G$33,MATCH($A80,Gantt!$C$4:$C$33,0)),""))</f>
        <v/>
      </c>
      <c r="G80" s="56" t="str">
        <f aca="false">IF($A80="","",F80-SUMIF($A$4:$A$103,$A80,$C$4:$C$103))</f>
        <v/>
      </c>
    </row>
    <row r="81" customFormat="false" ht="15" hidden="false" customHeight="false" outlineLevel="0" collapsed="false">
      <c r="A81" s="62"/>
      <c r="B81" s="62"/>
      <c r="C81" s="70"/>
      <c r="D81" s="81" t="str">
        <f aca="false">IF($B81="","",IFERROR(VLOOKUP($B81,Financement!$A$4:$B$18,2,FALSE()),""))</f>
        <v/>
      </c>
      <c r="E81" s="79" t="str">
        <f aca="false">IF($A81="","",IFERROR(INDEX(Gantt!$B$4:$B$33,MATCH($A81,Gantt!$C$4:$C$33,0)),""))</f>
        <v/>
      </c>
      <c r="F81" s="79" t="str">
        <f aca="false">IF($A81="","",IFERROR(INDEX(Gantt!$G$4:$G$33,MATCH($A81,Gantt!$C$4:$C$33,0)),""))</f>
        <v/>
      </c>
      <c r="G81" s="81" t="str">
        <f aca="false">IF($A81="","",F81-SUMIF($A$4:$A$103,$A81,$C$4:$C$103))</f>
        <v/>
      </c>
    </row>
    <row r="82" customFormat="false" ht="15" hidden="false" customHeight="false" outlineLevel="0" collapsed="false">
      <c r="A82" s="62"/>
      <c r="B82" s="62"/>
      <c r="C82" s="70"/>
      <c r="D82" s="56" t="str">
        <f aca="false">IF($B82="","",IFERROR(VLOOKUP($B82,Financement!$A$4:$B$18,2,FALSE()),""))</f>
        <v/>
      </c>
      <c r="E82" s="63" t="str">
        <f aca="false">IF($A82="","",IFERROR(INDEX(Gantt!$B$4:$B$33,MATCH($A82,Gantt!$C$4:$C$33,0)),""))</f>
        <v/>
      </c>
      <c r="F82" s="63" t="str">
        <f aca="false">IF($A82="","",IFERROR(INDEX(Gantt!$G$4:$G$33,MATCH($A82,Gantt!$C$4:$C$33,0)),""))</f>
        <v/>
      </c>
      <c r="G82" s="56" t="str">
        <f aca="false">IF($A82="","",F82-SUMIF($A$4:$A$103,$A82,$C$4:$C$103))</f>
        <v/>
      </c>
    </row>
    <row r="83" customFormat="false" ht="15" hidden="false" customHeight="false" outlineLevel="0" collapsed="false">
      <c r="A83" s="62"/>
      <c r="B83" s="62"/>
      <c r="C83" s="70"/>
      <c r="D83" s="81" t="str">
        <f aca="false">IF($B83="","",IFERROR(VLOOKUP($B83,Financement!$A$4:$B$18,2,FALSE()),""))</f>
        <v/>
      </c>
      <c r="E83" s="79" t="str">
        <f aca="false">IF($A83="","",IFERROR(INDEX(Gantt!$B$4:$B$33,MATCH($A83,Gantt!$C$4:$C$33,0)),""))</f>
        <v/>
      </c>
      <c r="F83" s="79" t="str">
        <f aca="false">IF($A83="","",IFERROR(INDEX(Gantt!$G$4:$G$33,MATCH($A83,Gantt!$C$4:$C$33,0)),""))</f>
        <v/>
      </c>
      <c r="G83" s="81" t="str">
        <f aca="false">IF($A83="","",F83-SUMIF($A$4:$A$103,$A83,$C$4:$C$103))</f>
        <v/>
      </c>
    </row>
    <row r="84" customFormat="false" ht="15" hidden="false" customHeight="false" outlineLevel="0" collapsed="false">
      <c r="A84" s="62"/>
      <c r="B84" s="62"/>
      <c r="C84" s="70"/>
      <c r="D84" s="56" t="str">
        <f aca="false">IF($B84="","",IFERROR(VLOOKUP($B84,Financement!$A$4:$B$18,2,FALSE()),""))</f>
        <v/>
      </c>
      <c r="E84" s="63" t="str">
        <f aca="false">IF($A84="","",IFERROR(INDEX(Gantt!$B$4:$B$33,MATCH($A84,Gantt!$C$4:$C$33,0)),""))</f>
        <v/>
      </c>
      <c r="F84" s="63" t="str">
        <f aca="false">IF($A84="","",IFERROR(INDEX(Gantt!$G$4:$G$33,MATCH($A84,Gantt!$C$4:$C$33,0)),""))</f>
        <v/>
      </c>
      <c r="G84" s="56" t="str">
        <f aca="false">IF($A84="","",F84-SUMIF($A$4:$A$103,$A84,$C$4:$C$103))</f>
        <v/>
      </c>
    </row>
    <row r="85" customFormat="false" ht="15" hidden="false" customHeight="false" outlineLevel="0" collapsed="false">
      <c r="A85" s="62"/>
      <c r="B85" s="62"/>
      <c r="C85" s="70"/>
      <c r="D85" s="81" t="str">
        <f aca="false">IF($B85="","",IFERROR(VLOOKUP($B85,Financement!$A$4:$B$18,2,FALSE()),""))</f>
        <v/>
      </c>
      <c r="E85" s="79" t="str">
        <f aca="false">IF($A85="","",IFERROR(INDEX(Gantt!$B$4:$B$33,MATCH($A85,Gantt!$C$4:$C$33,0)),""))</f>
        <v/>
      </c>
      <c r="F85" s="79" t="str">
        <f aca="false">IF($A85="","",IFERROR(INDEX(Gantt!$G$4:$G$33,MATCH($A85,Gantt!$C$4:$C$33,0)),""))</f>
        <v/>
      </c>
      <c r="G85" s="81" t="str">
        <f aca="false">IF($A85="","",F85-SUMIF($A$4:$A$103,$A85,$C$4:$C$103))</f>
        <v/>
      </c>
    </row>
    <row r="86" customFormat="false" ht="15" hidden="false" customHeight="false" outlineLevel="0" collapsed="false">
      <c r="A86" s="62"/>
      <c r="B86" s="62"/>
      <c r="C86" s="70"/>
      <c r="D86" s="56" t="str">
        <f aca="false">IF($B86="","",IFERROR(VLOOKUP($B86,Financement!$A$4:$B$18,2,FALSE()),""))</f>
        <v/>
      </c>
      <c r="E86" s="63" t="str">
        <f aca="false">IF($A86="","",IFERROR(INDEX(Gantt!$B$4:$B$33,MATCH($A86,Gantt!$C$4:$C$33,0)),""))</f>
        <v/>
      </c>
      <c r="F86" s="63" t="str">
        <f aca="false">IF($A86="","",IFERROR(INDEX(Gantt!$G$4:$G$33,MATCH($A86,Gantt!$C$4:$C$33,0)),""))</f>
        <v/>
      </c>
      <c r="G86" s="56" t="str">
        <f aca="false">IF($A86="","",F86-SUMIF($A$4:$A$103,$A86,$C$4:$C$103))</f>
        <v/>
      </c>
    </row>
    <row r="87" customFormat="false" ht="15" hidden="false" customHeight="false" outlineLevel="0" collapsed="false">
      <c r="A87" s="62"/>
      <c r="B87" s="62"/>
      <c r="C87" s="70"/>
      <c r="D87" s="81" t="str">
        <f aca="false">IF($B87="","",IFERROR(VLOOKUP($B87,Financement!$A$4:$B$18,2,FALSE()),""))</f>
        <v/>
      </c>
      <c r="E87" s="79" t="str">
        <f aca="false">IF($A87="","",IFERROR(INDEX(Gantt!$B$4:$B$33,MATCH($A87,Gantt!$C$4:$C$33,0)),""))</f>
        <v/>
      </c>
      <c r="F87" s="79" t="str">
        <f aca="false">IF($A87="","",IFERROR(INDEX(Gantt!$G$4:$G$33,MATCH($A87,Gantt!$C$4:$C$33,0)),""))</f>
        <v/>
      </c>
      <c r="G87" s="81" t="str">
        <f aca="false">IF($A87="","",F87-SUMIF($A$4:$A$103,$A87,$C$4:$C$103))</f>
        <v/>
      </c>
    </row>
    <row r="88" customFormat="false" ht="15" hidden="false" customHeight="false" outlineLevel="0" collapsed="false">
      <c r="A88" s="62"/>
      <c r="B88" s="62"/>
      <c r="C88" s="70"/>
      <c r="D88" s="56" t="str">
        <f aca="false">IF($B88="","",IFERROR(VLOOKUP($B88,Financement!$A$4:$B$18,2,FALSE()),""))</f>
        <v/>
      </c>
      <c r="E88" s="63" t="str">
        <f aca="false">IF($A88="","",IFERROR(INDEX(Gantt!$B$4:$B$33,MATCH($A88,Gantt!$C$4:$C$33,0)),""))</f>
        <v/>
      </c>
      <c r="F88" s="63" t="str">
        <f aca="false">IF($A88="","",IFERROR(INDEX(Gantt!$G$4:$G$33,MATCH($A88,Gantt!$C$4:$C$33,0)),""))</f>
        <v/>
      </c>
      <c r="G88" s="56" t="str">
        <f aca="false">IF($A88="","",F88-SUMIF($A$4:$A$103,$A88,$C$4:$C$103))</f>
        <v/>
      </c>
    </row>
    <row r="89" customFormat="false" ht="15" hidden="false" customHeight="false" outlineLevel="0" collapsed="false">
      <c r="A89" s="62"/>
      <c r="B89" s="62"/>
      <c r="C89" s="70"/>
      <c r="D89" s="81" t="str">
        <f aca="false">IF($B89="","",IFERROR(VLOOKUP($B89,Financement!$A$4:$B$18,2,FALSE()),""))</f>
        <v/>
      </c>
      <c r="E89" s="79" t="str">
        <f aca="false">IF($A89="","",IFERROR(INDEX(Gantt!$B$4:$B$33,MATCH($A89,Gantt!$C$4:$C$33,0)),""))</f>
        <v/>
      </c>
      <c r="F89" s="79" t="str">
        <f aca="false">IF($A89="","",IFERROR(INDEX(Gantt!$G$4:$G$33,MATCH($A89,Gantt!$C$4:$C$33,0)),""))</f>
        <v/>
      </c>
      <c r="G89" s="81" t="str">
        <f aca="false">IF($A89="","",F89-SUMIF($A$4:$A$103,$A89,$C$4:$C$103))</f>
        <v/>
      </c>
    </row>
    <row r="90" customFormat="false" ht="15" hidden="false" customHeight="false" outlineLevel="0" collapsed="false">
      <c r="A90" s="62"/>
      <c r="B90" s="62"/>
      <c r="C90" s="70"/>
      <c r="D90" s="56" t="str">
        <f aca="false">IF($B90="","",IFERROR(VLOOKUP($B90,Financement!$A$4:$B$18,2,FALSE()),""))</f>
        <v/>
      </c>
      <c r="E90" s="63" t="str">
        <f aca="false">IF($A90="","",IFERROR(INDEX(Gantt!$B$4:$B$33,MATCH($A90,Gantt!$C$4:$C$33,0)),""))</f>
        <v/>
      </c>
      <c r="F90" s="63" t="str">
        <f aca="false">IF($A90="","",IFERROR(INDEX(Gantt!$G$4:$G$33,MATCH($A90,Gantt!$C$4:$C$33,0)),""))</f>
        <v/>
      </c>
      <c r="G90" s="56" t="str">
        <f aca="false">IF($A90="","",F90-SUMIF($A$4:$A$103,$A90,$C$4:$C$103))</f>
        <v/>
      </c>
    </row>
    <row r="91" customFormat="false" ht="15" hidden="false" customHeight="false" outlineLevel="0" collapsed="false">
      <c r="A91" s="62"/>
      <c r="B91" s="62"/>
      <c r="C91" s="70"/>
      <c r="D91" s="81" t="str">
        <f aca="false">IF($B91="","",IFERROR(VLOOKUP($B91,Financement!$A$4:$B$18,2,FALSE()),""))</f>
        <v/>
      </c>
      <c r="E91" s="79" t="str">
        <f aca="false">IF($A91="","",IFERROR(INDEX(Gantt!$B$4:$B$33,MATCH($A91,Gantt!$C$4:$C$33,0)),""))</f>
        <v/>
      </c>
      <c r="F91" s="79" t="str">
        <f aca="false">IF($A91="","",IFERROR(INDEX(Gantt!$G$4:$G$33,MATCH($A91,Gantt!$C$4:$C$33,0)),""))</f>
        <v/>
      </c>
      <c r="G91" s="81" t="str">
        <f aca="false">IF($A91="","",F91-SUMIF($A$4:$A$103,$A91,$C$4:$C$103))</f>
        <v/>
      </c>
    </row>
    <row r="92" customFormat="false" ht="15" hidden="false" customHeight="false" outlineLevel="0" collapsed="false">
      <c r="A92" s="62"/>
      <c r="B92" s="62"/>
      <c r="C92" s="70"/>
      <c r="D92" s="56" t="str">
        <f aca="false">IF($B92="","",IFERROR(VLOOKUP($B92,Financement!$A$4:$B$18,2,FALSE()),""))</f>
        <v/>
      </c>
      <c r="E92" s="63" t="str">
        <f aca="false">IF($A92="","",IFERROR(INDEX(Gantt!$B$4:$B$33,MATCH($A92,Gantt!$C$4:$C$33,0)),""))</f>
        <v/>
      </c>
      <c r="F92" s="63" t="str">
        <f aca="false">IF($A92="","",IFERROR(INDEX(Gantt!$G$4:$G$33,MATCH($A92,Gantt!$C$4:$C$33,0)),""))</f>
        <v/>
      </c>
      <c r="G92" s="56" t="str">
        <f aca="false">IF($A92="","",F92-SUMIF($A$4:$A$103,$A92,$C$4:$C$103))</f>
        <v/>
      </c>
    </row>
    <row r="93" customFormat="false" ht="15" hidden="false" customHeight="false" outlineLevel="0" collapsed="false">
      <c r="A93" s="62"/>
      <c r="B93" s="62"/>
      <c r="C93" s="70"/>
      <c r="D93" s="81" t="str">
        <f aca="false">IF($B93="","",IFERROR(VLOOKUP($B93,Financement!$A$4:$B$18,2,FALSE()),""))</f>
        <v/>
      </c>
      <c r="E93" s="79" t="str">
        <f aca="false">IF($A93="","",IFERROR(INDEX(Gantt!$B$4:$B$33,MATCH($A93,Gantt!$C$4:$C$33,0)),""))</f>
        <v/>
      </c>
      <c r="F93" s="79" t="str">
        <f aca="false">IF($A93="","",IFERROR(INDEX(Gantt!$G$4:$G$33,MATCH($A93,Gantt!$C$4:$C$33,0)),""))</f>
        <v/>
      </c>
      <c r="G93" s="81" t="str">
        <f aca="false">IF($A93="","",F93-SUMIF($A$4:$A$103,$A93,$C$4:$C$103))</f>
        <v/>
      </c>
    </row>
    <row r="94" customFormat="false" ht="15" hidden="false" customHeight="false" outlineLevel="0" collapsed="false">
      <c r="A94" s="62"/>
      <c r="B94" s="62"/>
      <c r="C94" s="70"/>
      <c r="D94" s="56" t="str">
        <f aca="false">IF($B94="","",IFERROR(VLOOKUP($B94,Financement!$A$4:$B$18,2,FALSE()),""))</f>
        <v/>
      </c>
      <c r="E94" s="63" t="str">
        <f aca="false">IF($A94="","",IFERROR(INDEX(Gantt!$B$4:$B$33,MATCH($A94,Gantt!$C$4:$C$33,0)),""))</f>
        <v/>
      </c>
      <c r="F94" s="63" t="str">
        <f aca="false">IF($A94="","",IFERROR(INDEX(Gantt!$G$4:$G$33,MATCH($A94,Gantt!$C$4:$C$33,0)),""))</f>
        <v/>
      </c>
      <c r="G94" s="56" t="str">
        <f aca="false">IF($A94="","",F94-SUMIF($A$4:$A$103,$A94,$C$4:$C$103))</f>
        <v/>
      </c>
    </row>
    <row r="95" customFormat="false" ht="15" hidden="false" customHeight="false" outlineLevel="0" collapsed="false">
      <c r="A95" s="62"/>
      <c r="B95" s="62"/>
      <c r="C95" s="70"/>
      <c r="D95" s="81" t="str">
        <f aca="false">IF($B95="","",IFERROR(VLOOKUP($B95,Financement!$A$4:$B$18,2,FALSE()),""))</f>
        <v/>
      </c>
      <c r="E95" s="79" t="str">
        <f aca="false">IF($A95="","",IFERROR(INDEX(Gantt!$B$4:$B$33,MATCH($A95,Gantt!$C$4:$C$33,0)),""))</f>
        <v/>
      </c>
      <c r="F95" s="79" t="str">
        <f aca="false">IF($A95="","",IFERROR(INDEX(Gantt!$G$4:$G$33,MATCH($A95,Gantt!$C$4:$C$33,0)),""))</f>
        <v/>
      </c>
      <c r="G95" s="81" t="str">
        <f aca="false">IF($A95="","",F95-SUMIF($A$4:$A$103,$A95,$C$4:$C$103))</f>
        <v/>
      </c>
    </row>
    <row r="96" customFormat="false" ht="15" hidden="false" customHeight="false" outlineLevel="0" collapsed="false">
      <c r="A96" s="62"/>
      <c r="B96" s="62"/>
      <c r="C96" s="70"/>
      <c r="D96" s="56" t="str">
        <f aca="false">IF($B96="","",IFERROR(VLOOKUP($B96,Financement!$A$4:$B$18,2,FALSE()),""))</f>
        <v/>
      </c>
      <c r="E96" s="63" t="str">
        <f aca="false">IF($A96="","",IFERROR(INDEX(Gantt!$B$4:$B$33,MATCH($A96,Gantt!$C$4:$C$33,0)),""))</f>
        <v/>
      </c>
      <c r="F96" s="63" t="str">
        <f aca="false">IF($A96="","",IFERROR(INDEX(Gantt!$G$4:$G$33,MATCH($A96,Gantt!$C$4:$C$33,0)),""))</f>
        <v/>
      </c>
      <c r="G96" s="56" t="str">
        <f aca="false">IF($A96="","",F96-SUMIF($A$4:$A$103,$A96,$C$4:$C$103))</f>
        <v/>
      </c>
    </row>
    <row r="97" customFormat="false" ht="15" hidden="false" customHeight="false" outlineLevel="0" collapsed="false">
      <c r="A97" s="62"/>
      <c r="B97" s="62"/>
      <c r="C97" s="70"/>
      <c r="D97" s="81" t="str">
        <f aca="false">IF($B97="","",IFERROR(VLOOKUP($B97,Financement!$A$4:$B$18,2,FALSE()),""))</f>
        <v/>
      </c>
      <c r="E97" s="79" t="str">
        <f aca="false">IF($A97="","",IFERROR(INDEX(Gantt!$B$4:$B$33,MATCH($A97,Gantt!$C$4:$C$33,0)),""))</f>
        <v/>
      </c>
      <c r="F97" s="79" t="str">
        <f aca="false">IF($A97="","",IFERROR(INDEX(Gantt!$G$4:$G$33,MATCH($A97,Gantt!$C$4:$C$33,0)),""))</f>
        <v/>
      </c>
      <c r="G97" s="81" t="str">
        <f aca="false">IF($A97="","",F97-SUMIF($A$4:$A$103,$A97,$C$4:$C$103))</f>
        <v/>
      </c>
    </row>
    <row r="98" customFormat="false" ht="15" hidden="false" customHeight="false" outlineLevel="0" collapsed="false">
      <c r="A98" s="62"/>
      <c r="B98" s="62"/>
      <c r="C98" s="70"/>
      <c r="D98" s="56" t="str">
        <f aca="false">IF($B98="","",IFERROR(VLOOKUP($B98,Financement!$A$4:$B$18,2,FALSE()),""))</f>
        <v/>
      </c>
      <c r="E98" s="63" t="str">
        <f aca="false">IF($A98="","",IFERROR(INDEX(Gantt!$B$4:$B$33,MATCH($A98,Gantt!$C$4:$C$33,0)),""))</f>
        <v/>
      </c>
      <c r="F98" s="63" t="str">
        <f aca="false">IF($A98="","",IFERROR(INDEX(Gantt!$G$4:$G$33,MATCH($A98,Gantt!$C$4:$C$33,0)),""))</f>
        <v/>
      </c>
      <c r="G98" s="56" t="str">
        <f aca="false">IF($A98="","",F98-SUMIF($A$4:$A$103,$A98,$C$4:$C$103))</f>
        <v/>
      </c>
    </row>
    <row r="99" customFormat="false" ht="15" hidden="false" customHeight="false" outlineLevel="0" collapsed="false">
      <c r="A99" s="62"/>
      <c r="B99" s="62"/>
      <c r="C99" s="70"/>
      <c r="D99" s="81" t="str">
        <f aca="false">IF($B99="","",IFERROR(VLOOKUP($B99,Financement!$A$4:$B$18,2,FALSE()),""))</f>
        <v/>
      </c>
      <c r="E99" s="79" t="str">
        <f aca="false">IF($A99="","",IFERROR(INDEX(Gantt!$B$4:$B$33,MATCH($A99,Gantt!$C$4:$C$33,0)),""))</f>
        <v/>
      </c>
      <c r="F99" s="79" t="str">
        <f aca="false">IF($A99="","",IFERROR(INDEX(Gantt!$G$4:$G$33,MATCH($A99,Gantt!$C$4:$C$33,0)),""))</f>
        <v/>
      </c>
      <c r="G99" s="81" t="str">
        <f aca="false">IF($A99="","",F99-SUMIF($A$4:$A$103,$A99,$C$4:$C$103))</f>
        <v/>
      </c>
    </row>
    <row r="100" customFormat="false" ht="15" hidden="false" customHeight="false" outlineLevel="0" collapsed="false">
      <c r="A100" s="62"/>
      <c r="B100" s="62"/>
      <c r="C100" s="70"/>
      <c r="D100" s="56" t="str">
        <f aca="false">IF($B100="","",IFERROR(VLOOKUP($B100,Financement!$A$4:$B$18,2,FALSE()),""))</f>
        <v/>
      </c>
      <c r="E100" s="63" t="str">
        <f aca="false">IF($A100="","",IFERROR(INDEX(Gantt!$B$4:$B$33,MATCH($A100,Gantt!$C$4:$C$33,0)),""))</f>
        <v/>
      </c>
      <c r="F100" s="63" t="str">
        <f aca="false">IF($A100="","",IFERROR(INDEX(Gantt!$G$4:$G$33,MATCH($A100,Gantt!$C$4:$C$33,0)),""))</f>
        <v/>
      </c>
      <c r="G100" s="56" t="str">
        <f aca="false">IF($A100="","",F100-SUMIF($A$4:$A$103,$A100,$C$4:$C$103))</f>
        <v/>
      </c>
    </row>
    <row r="101" customFormat="false" ht="15" hidden="false" customHeight="false" outlineLevel="0" collapsed="false">
      <c r="A101" s="62"/>
      <c r="B101" s="62"/>
      <c r="C101" s="70"/>
      <c r="D101" s="81" t="str">
        <f aca="false">IF($B101="","",IFERROR(VLOOKUP($B101,Financement!$A$4:$B$18,2,FALSE()),""))</f>
        <v/>
      </c>
      <c r="E101" s="79" t="str">
        <f aca="false">IF($A101="","",IFERROR(INDEX(Gantt!$B$4:$B$33,MATCH($A101,Gantt!$C$4:$C$33,0)),""))</f>
        <v/>
      </c>
      <c r="F101" s="79" t="str">
        <f aca="false">IF($A101="","",IFERROR(INDEX(Gantt!$G$4:$G$33,MATCH($A101,Gantt!$C$4:$C$33,0)),""))</f>
        <v/>
      </c>
      <c r="G101" s="81" t="str">
        <f aca="false">IF($A101="","",F101-SUMIF($A$4:$A$103,$A101,$C$4:$C$103))</f>
        <v/>
      </c>
    </row>
    <row r="102" customFormat="false" ht="15" hidden="false" customHeight="false" outlineLevel="0" collapsed="false">
      <c r="A102" s="62"/>
      <c r="B102" s="62"/>
      <c r="C102" s="70"/>
      <c r="D102" s="56" t="str">
        <f aca="false">IF($B102="","",IFERROR(VLOOKUP($B102,Financement!$A$4:$B$18,2,FALSE()),""))</f>
        <v/>
      </c>
      <c r="E102" s="63" t="str">
        <f aca="false">IF($A102="","",IFERROR(INDEX(Gantt!$B$4:$B$33,MATCH($A102,Gantt!$C$4:$C$33,0)),""))</f>
        <v/>
      </c>
      <c r="F102" s="63" t="str">
        <f aca="false">IF($A102="","",IFERROR(INDEX(Gantt!$G$4:$G$33,MATCH($A102,Gantt!$C$4:$C$33,0)),""))</f>
        <v/>
      </c>
      <c r="G102" s="56" t="str">
        <f aca="false">IF($A102="","",F102-SUMIF($A$4:$A$103,$A102,$C$4:$C$103))</f>
        <v/>
      </c>
    </row>
    <row r="103" customFormat="false" ht="15" hidden="false" customHeight="false" outlineLevel="0" collapsed="false">
      <c r="A103" s="62"/>
      <c r="B103" s="62"/>
      <c r="C103" s="70"/>
      <c r="D103" s="81" t="str">
        <f aca="false">IF($B103="","",IFERROR(VLOOKUP($B103,Financement!$A$4:$B$18,2,FALSE()),""))</f>
        <v/>
      </c>
      <c r="E103" s="79" t="str">
        <f aca="false">IF($A103="","",IFERROR(INDEX(Gantt!$B$4:$B$33,MATCH($A103,Gantt!$C$4:$C$33,0)),""))</f>
        <v/>
      </c>
      <c r="F103" s="79" t="str">
        <f aca="false">IF($A103="","",IFERROR(INDEX(Gantt!$G$4:$G$33,MATCH($A103,Gantt!$C$4:$C$33,0)),""))</f>
        <v/>
      </c>
      <c r="G103" s="81" t="str">
        <f aca="false">IF($A103="","",F103-SUMIF($A$4:$A$103,$A103,$C$4:$C$103))</f>
        <v/>
      </c>
    </row>
    <row r="104" customFormat="false" ht="15" hidden="false" customHeight="false" outlineLevel="0" collapsed="false">
      <c r="A104" s="52" t="s">
        <v>32</v>
      </c>
      <c r="B104" s="52"/>
      <c r="C104" s="52" t="n">
        <f aca="false">SUM(C4:C103)</f>
        <v>1620</v>
      </c>
      <c r="D104" s="52"/>
      <c r="E104" s="52"/>
      <c r="F104" s="52"/>
      <c r="G104" s="52"/>
    </row>
    <row r="106" customFormat="false" ht="15" hidden="false" customHeight="false" outlineLevel="0" collapsed="false">
      <c r="A106" s="2" t="s">
        <v>86</v>
      </c>
    </row>
  </sheetData>
  <mergeCells count="1">
    <mergeCell ref="A1:G1"/>
  </mergeCells>
  <conditionalFormatting sqref="G4">
    <cfRule type="expression" priority="2" aboveAverage="0" equalAverage="0" bottom="0" percent="0" rank="0" text="" dxfId="3">
      <formula>AND(ISNUMBER(G4),G4&gt;0)</formula>
    </cfRule>
    <cfRule type="expression" priority="3" aboveAverage="0" equalAverage="0" bottom="0" percent="0" rank="0" text="" dxfId="76">
      <formula>AND(ISNUMBER(G4),G4&lt;0)</formula>
    </cfRule>
    <cfRule type="expression" priority="4" aboveAverage="0" equalAverage="0" bottom="0" percent="0" rank="0" text="" dxfId="77">
      <formula>AND(ISNUMBER(G4),G4=0)</formula>
    </cfRule>
  </conditionalFormatting>
  <conditionalFormatting sqref="D4">
    <cfRule type="expression" priority="5" aboveAverage="0" equalAverage="0" bottom="0" percent="0" rank="0" text="" dxfId="73">
      <formula>$D4="Confirmé"</formula>
    </cfRule>
    <cfRule type="expression" priority="6" aboveAverage="0" equalAverage="0" bottom="0" percent="0" rank="0" text="" dxfId="74">
      <formula>$D4="Pressenti"</formula>
    </cfRule>
    <cfRule type="expression" priority="7" aboveAverage="0" equalAverage="0" bottom="0" percent="0" rank="0" text="" dxfId="0">
      <formula>$D4="Option"</formula>
    </cfRule>
  </conditionalFormatting>
  <conditionalFormatting sqref="G5">
    <cfRule type="expression" priority="8" aboveAverage="0" equalAverage="0" bottom="0" percent="0" rank="0" text="" dxfId="3">
      <formula>AND(ISNUMBER(G5),G5&gt;0)</formula>
    </cfRule>
    <cfRule type="expression" priority="9" aboveAverage="0" equalAverage="0" bottom="0" percent="0" rank="0" text="" dxfId="76">
      <formula>AND(ISNUMBER(G5),G5&lt;0)</formula>
    </cfRule>
    <cfRule type="expression" priority="10" aboveAverage="0" equalAverage="0" bottom="0" percent="0" rank="0" text="" dxfId="77">
      <formula>AND(ISNUMBER(G5),G5=0)</formula>
    </cfRule>
  </conditionalFormatting>
  <conditionalFormatting sqref="D5">
    <cfRule type="expression" priority="11" aboveAverage="0" equalAverage="0" bottom="0" percent="0" rank="0" text="" dxfId="73">
      <formula>$D5="Confirmé"</formula>
    </cfRule>
    <cfRule type="expression" priority="12" aboveAverage="0" equalAverage="0" bottom="0" percent="0" rank="0" text="" dxfId="74">
      <formula>$D5="Pressenti"</formula>
    </cfRule>
    <cfRule type="expression" priority="13" aboveAverage="0" equalAverage="0" bottom="0" percent="0" rank="0" text="" dxfId="0">
      <formula>$D5="Option"</formula>
    </cfRule>
  </conditionalFormatting>
  <conditionalFormatting sqref="G6">
    <cfRule type="expression" priority="14" aboveAverage="0" equalAverage="0" bottom="0" percent="0" rank="0" text="" dxfId="3">
      <formula>AND(ISNUMBER(G6),G6&gt;0)</formula>
    </cfRule>
    <cfRule type="expression" priority="15" aboveAverage="0" equalAverage="0" bottom="0" percent="0" rank="0" text="" dxfId="76">
      <formula>AND(ISNUMBER(G6),G6&lt;0)</formula>
    </cfRule>
    <cfRule type="expression" priority="16" aboveAverage="0" equalAverage="0" bottom="0" percent="0" rank="0" text="" dxfId="77">
      <formula>AND(ISNUMBER(G6),G6=0)</formula>
    </cfRule>
  </conditionalFormatting>
  <conditionalFormatting sqref="D6">
    <cfRule type="expression" priority="17" aboveAverage="0" equalAverage="0" bottom="0" percent="0" rank="0" text="" dxfId="73">
      <formula>$D6="Confirmé"</formula>
    </cfRule>
    <cfRule type="expression" priority="18" aboveAverage="0" equalAverage="0" bottom="0" percent="0" rank="0" text="" dxfId="74">
      <formula>$D6="Pressenti"</formula>
    </cfRule>
    <cfRule type="expression" priority="19" aboveAverage="0" equalAverage="0" bottom="0" percent="0" rank="0" text="" dxfId="0">
      <formula>$D6="Option"</formula>
    </cfRule>
  </conditionalFormatting>
  <conditionalFormatting sqref="G7">
    <cfRule type="expression" priority="20" aboveAverage="0" equalAverage="0" bottom="0" percent="0" rank="0" text="" dxfId="3">
      <formula>AND(ISNUMBER(G7),G7&gt;0)</formula>
    </cfRule>
    <cfRule type="expression" priority="21" aboveAverage="0" equalAverage="0" bottom="0" percent="0" rank="0" text="" dxfId="76">
      <formula>AND(ISNUMBER(G7),G7&lt;0)</formula>
    </cfRule>
    <cfRule type="expression" priority="22" aboveAverage="0" equalAverage="0" bottom="0" percent="0" rank="0" text="" dxfId="77">
      <formula>AND(ISNUMBER(G7),G7=0)</formula>
    </cfRule>
  </conditionalFormatting>
  <conditionalFormatting sqref="D7">
    <cfRule type="expression" priority="23" aboveAverage="0" equalAverage="0" bottom="0" percent="0" rank="0" text="" dxfId="73">
      <formula>$D7="Confirmé"</formula>
    </cfRule>
    <cfRule type="expression" priority="24" aboveAverage="0" equalAverage="0" bottom="0" percent="0" rank="0" text="" dxfId="74">
      <formula>$D7="Pressenti"</formula>
    </cfRule>
    <cfRule type="expression" priority="25" aboveAverage="0" equalAverage="0" bottom="0" percent="0" rank="0" text="" dxfId="0">
      <formula>$D7="Option"</formula>
    </cfRule>
  </conditionalFormatting>
  <conditionalFormatting sqref="G8">
    <cfRule type="expression" priority="26" aboveAverage="0" equalAverage="0" bottom="0" percent="0" rank="0" text="" dxfId="3">
      <formula>AND(ISNUMBER(G8),G8&gt;0)</formula>
    </cfRule>
    <cfRule type="expression" priority="27" aboveAverage="0" equalAverage="0" bottom="0" percent="0" rank="0" text="" dxfId="76">
      <formula>AND(ISNUMBER(G8),G8&lt;0)</formula>
    </cfRule>
    <cfRule type="expression" priority="28" aboveAverage="0" equalAverage="0" bottom="0" percent="0" rank="0" text="" dxfId="77">
      <formula>AND(ISNUMBER(G8),G8=0)</formula>
    </cfRule>
  </conditionalFormatting>
  <conditionalFormatting sqref="D8">
    <cfRule type="expression" priority="29" aboveAverage="0" equalAverage="0" bottom="0" percent="0" rank="0" text="" dxfId="73">
      <formula>$D8="Confirmé"</formula>
    </cfRule>
    <cfRule type="expression" priority="30" aboveAverage="0" equalAverage="0" bottom="0" percent="0" rank="0" text="" dxfId="74">
      <formula>$D8="Pressenti"</formula>
    </cfRule>
    <cfRule type="expression" priority="31" aboveAverage="0" equalAverage="0" bottom="0" percent="0" rank="0" text="" dxfId="0">
      <formula>$D8="Option"</formula>
    </cfRule>
  </conditionalFormatting>
  <conditionalFormatting sqref="G9">
    <cfRule type="expression" priority="32" aboveAverage="0" equalAverage="0" bottom="0" percent="0" rank="0" text="" dxfId="3">
      <formula>AND(ISNUMBER(G9),G9&gt;0)</formula>
    </cfRule>
    <cfRule type="expression" priority="33" aboveAverage="0" equalAverage="0" bottom="0" percent="0" rank="0" text="" dxfId="76">
      <formula>AND(ISNUMBER(G9),G9&lt;0)</formula>
    </cfRule>
    <cfRule type="expression" priority="34" aboveAverage="0" equalAverage="0" bottom="0" percent="0" rank="0" text="" dxfId="77">
      <formula>AND(ISNUMBER(G9),G9=0)</formula>
    </cfRule>
  </conditionalFormatting>
  <conditionalFormatting sqref="D9">
    <cfRule type="expression" priority="35" aboveAverage="0" equalAverage="0" bottom="0" percent="0" rank="0" text="" dxfId="73">
      <formula>$D9="Confirmé"</formula>
    </cfRule>
    <cfRule type="expression" priority="36" aboveAverage="0" equalAverage="0" bottom="0" percent="0" rank="0" text="" dxfId="74">
      <formula>$D9="Pressenti"</formula>
    </cfRule>
    <cfRule type="expression" priority="37" aboveAverage="0" equalAverage="0" bottom="0" percent="0" rank="0" text="" dxfId="0">
      <formula>$D9="Option"</formula>
    </cfRule>
  </conditionalFormatting>
  <conditionalFormatting sqref="G10">
    <cfRule type="expression" priority="38" aboveAverage="0" equalAverage="0" bottom="0" percent="0" rank="0" text="" dxfId="3">
      <formula>AND(ISNUMBER(G10),G10&gt;0)</formula>
    </cfRule>
    <cfRule type="expression" priority="39" aboveAverage="0" equalAverage="0" bottom="0" percent="0" rank="0" text="" dxfId="76">
      <formula>AND(ISNUMBER(G10),G10&lt;0)</formula>
    </cfRule>
    <cfRule type="expression" priority="40" aboveAverage="0" equalAverage="0" bottom="0" percent="0" rank="0" text="" dxfId="77">
      <formula>AND(ISNUMBER(G10),G10=0)</formula>
    </cfRule>
  </conditionalFormatting>
  <conditionalFormatting sqref="D10">
    <cfRule type="expression" priority="41" aboveAverage="0" equalAverage="0" bottom="0" percent="0" rank="0" text="" dxfId="73">
      <formula>$D10="Confirmé"</formula>
    </cfRule>
    <cfRule type="expression" priority="42" aboveAverage="0" equalAverage="0" bottom="0" percent="0" rank="0" text="" dxfId="74">
      <formula>$D10="Pressenti"</formula>
    </cfRule>
    <cfRule type="expression" priority="43" aboveAverage="0" equalAverage="0" bottom="0" percent="0" rank="0" text="" dxfId="0">
      <formula>$D10="Option"</formula>
    </cfRule>
  </conditionalFormatting>
  <conditionalFormatting sqref="G11">
    <cfRule type="expression" priority="44" aboveAverage="0" equalAverage="0" bottom="0" percent="0" rank="0" text="" dxfId="3">
      <formula>AND(ISNUMBER(G11),G11&gt;0)</formula>
    </cfRule>
    <cfRule type="expression" priority="45" aboveAverage="0" equalAverage="0" bottom="0" percent="0" rank="0" text="" dxfId="76">
      <formula>AND(ISNUMBER(G11),G11&lt;0)</formula>
    </cfRule>
    <cfRule type="expression" priority="46" aboveAverage="0" equalAverage="0" bottom="0" percent="0" rank="0" text="" dxfId="77">
      <formula>AND(ISNUMBER(G11),G11=0)</formula>
    </cfRule>
  </conditionalFormatting>
  <conditionalFormatting sqref="D11">
    <cfRule type="expression" priority="47" aboveAverage="0" equalAverage="0" bottom="0" percent="0" rank="0" text="" dxfId="73">
      <formula>$D11="Confirmé"</formula>
    </cfRule>
    <cfRule type="expression" priority="48" aboveAverage="0" equalAverage="0" bottom="0" percent="0" rank="0" text="" dxfId="74">
      <formula>$D11="Pressenti"</formula>
    </cfRule>
    <cfRule type="expression" priority="49" aboveAverage="0" equalAverage="0" bottom="0" percent="0" rank="0" text="" dxfId="0">
      <formula>$D11="Option"</formula>
    </cfRule>
  </conditionalFormatting>
  <conditionalFormatting sqref="G12">
    <cfRule type="expression" priority="50" aboveAverage="0" equalAverage="0" bottom="0" percent="0" rank="0" text="" dxfId="3">
      <formula>AND(ISNUMBER(G12),G12&gt;0)</formula>
    </cfRule>
    <cfRule type="expression" priority="51" aboveAverage="0" equalAverage="0" bottom="0" percent="0" rank="0" text="" dxfId="76">
      <formula>AND(ISNUMBER(G12),G12&lt;0)</formula>
    </cfRule>
    <cfRule type="expression" priority="52" aboveAverage="0" equalAverage="0" bottom="0" percent="0" rank="0" text="" dxfId="77">
      <formula>AND(ISNUMBER(G12),G12=0)</formula>
    </cfRule>
  </conditionalFormatting>
  <conditionalFormatting sqref="D12">
    <cfRule type="expression" priority="53" aboveAverage="0" equalAverage="0" bottom="0" percent="0" rank="0" text="" dxfId="73">
      <formula>$D12="Confirmé"</formula>
    </cfRule>
    <cfRule type="expression" priority="54" aboveAverage="0" equalAverage="0" bottom="0" percent="0" rank="0" text="" dxfId="74">
      <formula>$D12="Pressenti"</formula>
    </cfRule>
    <cfRule type="expression" priority="55" aboveAverage="0" equalAverage="0" bottom="0" percent="0" rank="0" text="" dxfId="0">
      <formula>$D12="Option"</formula>
    </cfRule>
  </conditionalFormatting>
  <conditionalFormatting sqref="G13">
    <cfRule type="expression" priority="56" aboveAverage="0" equalAverage="0" bottom="0" percent="0" rank="0" text="" dxfId="3">
      <formula>AND(ISNUMBER(G13),G13&gt;0)</formula>
    </cfRule>
    <cfRule type="expression" priority="57" aboveAverage="0" equalAverage="0" bottom="0" percent="0" rank="0" text="" dxfId="76">
      <formula>AND(ISNUMBER(G13),G13&lt;0)</formula>
    </cfRule>
    <cfRule type="expression" priority="58" aboveAverage="0" equalAverage="0" bottom="0" percent="0" rank="0" text="" dxfId="77">
      <formula>AND(ISNUMBER(G13),G13=0)</formula>
    </cfRule>
  </conditionalFormatting>
  <conditionalFormatting sqref="D13">
    <cfRule type="expression" priority="59" aboveAverage="0" equalAverage="0" bottom="0" percent="0" rank="0" text="" dxfId="73">
      <formula>$D13="Confirmé"</formula>
    </cfRule>
    <cfRule type="expression" priority="60" aboveAverage="0" equalAverage="0" bottom="0" percent="0" rank="0" text="" dxfId="74">
      <formula>$D13="Pressenti"</formula>
    </cfRule>
    <cfRule type="expression" priority="61" aboveAverage="0" equalAverage="0" bottom="0" percent="0" rank="0" text="" dxfId="0">
      <formula>$D13="Option"</formula>
    </cfRule>
  </conditionalFormatting>
  <conditionalFormatting sqref="G14">
    <cfRule type="expression" priority="62" aboveAverage="0" equalAverage="0" bottom="0" percent="0" rank="0" text="" dxfId="3">
      <formula>AND(ISNUMBER(G14),G14&gt;0)</formula>
    </cfRule>
    <cfRule type="expression" priority="63" aboveAverage="0" equalAverage="0" bottom="0" percent="0" rank="0" text="" dxfId="76">
      <formula>AND(ISNUMBER(G14),G14&lt;0)</formula>
    </cfRule>
    <cfRule type="expression" priority="64" aboveAverage="0" equalAverage="0" bottom="0" percent="0" rank="0" text="" dxfId="77">
      <formula>AND(ISNUMBER(G14),G14=0)</formula>
    </cfRule>
  </conditionalFormatting>
  <conditionalFormatting sqref="D14">
    <cfRule type="expression" priority="65" aboveAverage="0" equalAverage="0" bottom="0" percent="0" rank="0" text="" dxfId="73">
      <formula>$D14="Confirmé"</formula>
    </cfRule>
    <cfRule type="expression" priority="66" aboveAverage="0" equalAverage="0" bottom="0" percent="0" rank="0" text="" dxfId="74">
      <formula>$D14="Pressenti"</formula>
    </cfRule>
    <cfRule type="expression" priority="67" aboveAverage="0" equalAverage="0" bottom="0" percent="0" rank="0" text="" dxfId="0">
      <formula>$D14="Option"</formula>
    </cfRule>
  </conditionalFormatting>
  <conditionalFormatting sqref="G15">
    <cfRule type="expression" priority="68" aboveAverage="0" equalAverage="0" bottom="0" percent="0" rank="0" text="" dxfId="3">
      <formula>AND(ISNUMBER(G15),G15&gt;0)</formula>
    </cfRule>
    <cfRule type="expression" priority="69" aboveAverage="0" equalAverage="0" bottom="0" percent="0" rank="0" text="" dxfId="76">
      <formula>AND(ISNUMBER(G15),G15&lt;0)</formula>
    </cfRule>
    <cfRule type="expression" priority="70" aboveAverage="0" equalAverage="0" bottom="0" percent="0" rank="0" text="" dxfId="77">
      <formula>AND(ISNUMBER(G15),G15=0)</formula>
    </cfRule>
  </conditionalFormatting>
  <conditionalFormatting sqref="D15">
    <cfRule type="expression" priority="71" aboveAverage="0" equalAverage="0" bottom="0" percent="0" rank="0" text="" dxfId="73">
      <formula>$D15="Confirmé"</formula>
    </cfRule>
    <cfRule type="expression" priority="72" aboveAverage="0" equalAverage="0" bottom="0" percent="0" rank="0" text="" dxfId="74">
      <formula>$D15="Pressenti"</formula>
    </cfRule>
    <cfRule type="expression" priority="73" aboveAverage="0" equalAverage="0" bottom="0" percent="0" rank="0" text="" dxfId="0">
      <formula>$D15="Option"</formula>
    </cfRule>
  </conditionalFormatting>
  <conditionalFormatting sqref="G16">
    <cfRule type="expression" priority="74" aboveAverage="0" equalAverage="0" bottom="0" percent="0" rank="0" text="" dxfId="3">
      <formula>AND(ISNUMBER(G16),G16&gt;0)</formula>
    </cfRule>
    <cfRule type="expression" priority="75" aboveAverage="0" equalAverage="0" bottom="0" percent="0" rank="0" text="" dxfId="76">
      <formula>AND(ISNUMBER(G16),G16&lt;0)</formula>
    </cfRule>
    <cfRule type="expression" priority="76" aboveAverage="0" equalAverage="0" bottom="0" percent="0" rank="0" text="" dxfId="77">
      <formula>AND(ISNUMBER(G16),G16=0)</formula>
    </cfRule>
  </conditionalFormatting>
  <conditionalFormatting sqref="D16">
    <cfRule type="expression" priority="77" aboveAverage="0" equalAverage="0" bottom="0" percent="0" rank="0" text="" dxfId="73">
      <formula>$D16="Confirmé"</formula>
    </cfRule>
    <cfRule type="expression" priority="78" aboveAverage="0" equalAverage="0" bottom="0" percent="0" rank="0" text="" dxfId="74">
      <formula>$D16="Pressenti"</formula>
    </cfRule>
    <cfRule type="expression" priority="79" aboveAverage="0" equalAverage="0" bottom="0" percent="0" rank="0" text="" dxfId="0">
      <formula>$D16="Option"</formula>
    </cfRule>
  </conditionalFormatting>
  <conditionalFormatting sqref="G17">
    <cfRule type="expression" priority="80" aboveAverage="0" equalAverage="0" bottom="0" percent="0" rank="0" text="" dxfId="3">
      <formula>AND(ISNUMBER(G17),G17&gt;0)</formula>
    </cfRule>
    <cfRule type="expression" priority="81" aboveAverage="0" equalAverage="0" bottom="0" percent="0" rank="0" text="" dxfId="76">
      <formula>AND(ISNUMBER(G17),G17&lt;0)</formula>
    </cfRule>
    <cfRule type="expression" priority="82" aboveAverage="0" equalAverage="0" bottom="0" percent="0" rank="0" text="" dxfId="77">
      <formula>AND(ISNUMBER(G17),G17=0)</formula>
    </cfRule>
  </conditionalFormatting>
  <conditionalFormatting sqref="D17">
    <cfRule type="expression" priority="83" aboveAverage="0" equalAverage="0" bottom="0" percent="0" rank="0" text="" dxfId="73">
      <formula>$D17="Confirmé"</formula>
    </cfRule>
    <cfRule type="expression" priority="84" aboveAverage="0" equalAverage="0" bottom="0" percent="0" rank="0" text="" dxfId="74">
      <formula>$D17="Pressenti"</formula>
    </cfRule>
    <cfRule type="expression" priority="85" aboveAverage="0" equalAverage="0" bottom="0" percent="0" rank="0" text="" dxfId="0">
      <formula>$D17="Option"</formula>
    </cfRule>
  </conditionalFormatting>
  <conditionalFormatting sqref="G18">
    <cfRule type="expression" priority="86" aboveAverage="0" equalAverage="0" bottom="0" percent="0" rank="0" text="" dxfId="3">
      <formula>AND(ISNUMBER(G18),G18&gt;0)</formula>
    </cfRule>
    <cfRule type="expression" priority="87" aboveAverage="0" equalAverage="0" bottom="0" percent="0" rank="0" text="" dxfId="76">
      <formula>AND(ISNUMBER(G18),G18&lt;0)</formula>
    </cfRule>
    <cfRule type="expression" priority="88" aboveAverage="0" equalAverage="0" bottom="0" percent="0" rank="0" text="" dxfId="77">
      <formula>AND(ISNUMBER(G18),G18=0)</formula>
    </cfRule>
  </conditionalFormatting>
  <conditionalFormatting sqref="D18">
    <cfRule type="expression" priority="89" aboveAverage="0" equalAverage="0" bottom="0" percent="0" rank="0" text="" dxfId="73">
      <formula>$D18="Confirmé"</formula>
    </cfRule>
    <cfRule type="expression" priority="90" aboveAverage="0" equalAverage="0" bottom="0" percent="0" rank="0" text="" dxfId="74">
      <formula>$D18="Pressenti"</formula>
    </cfRule>
    <cfRule type="expression" priority="91" aboveAverage="0" equalAverage="0" bottom="0" percent="0" rank="0" text="" dxfId="0">
      <formula>$D18="Option"</formula>
    </cfRule>
  </conditionalFormatting>
  <conditionalFormatting sqref="G19">
    <cfRule type="expression" priority="92" aboveAverage="0" equalAverage="0" bottom="0" percent="0" rank="0" text="" dxfId="3">
      <formula>AND(ISNUMBER(G19),G19&gt;0)</formula>
    </cfRule>
    <cfRule type="expression" priority="93" aboveAverage="0" equalAverage="0" bottom="0" percent="0" rank="0" text="" dxfId="76">
      <formula>AND(ISNUMBER(G19),G19&lt;0)</formula>
    </cfRule>
    <cfRule type="expression" priority="94" aboveAverage="0" equalAverage="0" bottom="0" percent="0" rank="0" text="" dxfId="77">
      <formula>AND(ISNUMBER(G19),G19=0)</formula>
    </cfRule>
  </conditionalFormatting>
  <conditionalFormatting sqref="D19">
    <cfRule type="expression" priority="95" aboveAverage="0" equalAverage="0" bottom="0" percent="0" rank="0" text="" dxfId="73">
      <formula>$D19="Confirmé"</formula>
    </cfRule>
    <cfRule type="expression" priority="96" aboveAverage="0" equalAverage="0" bottom="0" percent="0" rank="0" text="" dxfId="74">
      <formula>$D19="Pressenti"</formula>
    </cfRule>
    <cfRule type="expression" priority="97" aboveAverage="0" equalAverage="0" bottom="0" percent="0" rank="0" text="" dxfId="0">
      <formula>$D19="Option"</formula>
    </cfRule>
  </conditionalFormatting>
  <conditionalFormatting sqref="G20">
    <cfRule type="expression" priority="98" aboveAverage="0" equalAverage="0" bottom="0" percent="0" rank="0" text="" dxfId="3">
      <formula>AND(ISNUMBER(G20),G20&gt;0)</formula>
    </cfRule>
    <cfRule type="expression" priority="99" aboveAverage="0" equalAverage="0" bottom="0" percent="0" rank="0" text="" dxfId="76">
      <formula>AND(ISNUMBER(G20),G20&lt;0)</formula>
    </cfRule>
    <cfRule type="expression" priority="100" aboveAverage="0" equalAverage="0" bottom="0" percent="0" rank="0" text="" dxfId="77">
      <formula>AND(ISNUMBER(G20),G20=0)</formula>
    </cfRule>
  </conditionalFormatting>
  <conditionalFormatting sqref="D20">
    <cfRule type="expression" priority="101" aboveAverage="0" equalAverage="0" bottom="0" percent="0" rank="0" text="" dxfId="73">
      <formula>$D20="Confirmé"</formula>
    </cfRule>
    <cfRule type="expression" priority="102" aboveAverage="0" equalAverage="0" bottom="0" percent="0" rank="0" text="" dxfId="74">
      <formula>$D20="Pressenti"</formula>
    </cfRule>
    <cfRule type="expression" priority="103" aboveAverage="0" equalAverage="0" bottom="0" percent="0" rank="0" text="" dxfId="0">
      <formula>$D20="Option"</formula>
    </cfRule>
  </conditionalFormatting>
  <conditionalFormatting sqref="G21">
    <cfRule type="expression" priority="104" aboveAverage="0" equalAverage="0" bottom="0" percent="0" rank="0" text="" dxfId="3">
      <formula>AND(ISNUMBER(G21),G21&gt;0)</formula>
    </cfRule>
    <cfRule type="expression" priority="105" aboveAverage="0" equalAverage="0" bottom="0" percent="0" rank="0" text="" dxfId="76">
      <formula>AND(ISNUMBER(G21),G21&lt;0)</formula>
    </cfRule>
    <cfRule type="expression" priority="106" aboveAverage="0" equalAverage="0" bottom="0" percent="0" rank="0" text="" dxfId="77">
      <formula>AND(ISNUMBER(G21),G21=0)</formula>
    </cfRule>
  </conditionalFormatting>
  <conditionalFormatting sqref="D21">
    <cfRule type="expression" priority="107" aboveAverage="0" equalAverage="0" bottom="0" percent="0" rank="0" text="" dxfId="73">
      <formula>$D21="Confirmé"</formula>
    </cfRule>
    <cfRule type="expression" priority="108" aboveAverage="0" equalAverage="0" bottom="0" percent="0" rank="0" text="" dxfId="74">
      <formula>$D21="Pressenti"</formula>
    </cfRule>
    <cfRule type="expression" priority="109" aboveAverage="0" equalAverage="0" bottom="0" percent="0" rank="0" text="" dxfId="0">
      <formula>$D21="Option"</formula>
    </cfRule>
  </conditionalFormatting>
  <conditionalFormatting sqref="G22">
    <cfRule type="expression" priority="110" aboveAverage="0" equalAverage="0" bottom="0" percent="0" rank="0" text="" dxfId="3">
      <formula>AND(ISNUMBER(G22),G22&gt;0)</formula>
    </cfRule>
    <cfRule type="expression" priority="111" aboveAverage="0" equalAverage="0" bottom="0" percent="0" rank="0" text="" dxfId="76">
      <formula>AND(ISNUMBER(G22),G22&lt;0)</formula>
    </cfRule>
    <cfRule type="expression" priority="112" aboveAverage="0" equalAverage="0" bottom="0" percent="0" rank="0" text="" dxfId="77">
      <formula>AND(ISNUMBER(G22),G22=0)</formula>
    </cfRule>
  </conditionalFormatting>
  <conditionalFormatting sqref="D22">
    <cfRule type="expression" priority="113" aboveAverage="0" equalAverage="0" bottom="0" percent="0" rank="0" text="" dxfId="73">
      <formula>$D22="Confirmé"</formula>
    </cfRule>
    <cfRule type="expression" priority="114" aboveAverage="0" equalAverage="0" bottom="0" percent="0" rank="0" text="" dxfId="74">
      <formula>$D22="Pressenti"</formula>
    </cfRule>
    <cfRule type="expression" priority="115" aboveAverage="0" equalAverage="0" bottom="0" percent="0" rank="0" text="" dxfId="0">
      <formula>$D22="Option"</formula>
    </cfRule>
  </conditionalFormatting>
  <conditionalFormatting sqref="G23">
    <cfRule type="expression" priority="116" aboveAverage="0" equalAverage="0" bottom="0" percent="0" rank="0" text="" dxfId="3">
      <formula>AND(ISNUMBER(G23),G23&gt;0)</formula>
    </cfRule>
    <cfRule type="expression" priority="117" aboveAverage="0" equalAverage="0" bottom="0" percent="0" rank="0" text="" dxfId="76">
      <formula>AND(ISNUMBER(G23),G23&lt;0)</formula>
    </cfRule>
    <cfRule type="expression" priority="118" aboveAverage="0" equalAverage="0" bottom="0" percent="0" rank="0" text="" dxfId="77">
      <formula>AND(ISNUMBER(G23),G23=0)</formula>
    </cfRule>
  </conditionalFormatting>
  <conditionalFormatting sqref="D23">
    <cfRule type="expression" priority="119" aboveAverage="0" equalAverage="0" bottom="0" percent="0" rank="0" text="" dxfId="73">
      <formula>$D23="Confirmé"</formula>
    </cfRule>
    <cfRule type="expression" priority="120" aboveAverage="0" equalAverage="0" bottom="0" percent="0" rank="0" text="" dxfId="74">
      <formula>$D23="Pressenti"</formula>
    </cfRule>
    <cfRule type="expression" priority="121" aboveAverage="0" equalAverage="0" bottom="0" percent="0" rank="0" text="" dxfId="0">
      <formula>$D23="Option"</formula>
    </cfRule>
  </conditionalFormatting>
  <conditionalFormatting sqref="G24">
    <cfRule type="expression" priority="122" aboveAverage="0" equalAverage="0" bottom="0" percent="0" rank="0" text="" dxfId="3">
      <formula>AND(ISNUMBER(G24),G24&gt;0)</formula>
    </cfRule>
    <cfRule type="expression" priority="123" aboveAverage="0" equalAverage="0" bottom="0" percent="0" rank="0" text="" dxfId="76">
      <formula>AND(ISNUMBER(G24),G24&lt;0)</formula>
    </cfRule>
    <cfRule type="expression" priority="124" aboveAverage="0" equalAverage="0" bottom="0" percent="0" rank="0" text="" dxfId="77">
      <formula>AND(ISNUMBER(G24),G24=0)</formula>
    </cfRule>
  </conditionalFormatting>
  <conditionalFormatting sqref="D24">
    <cfRule type="expression" priority="125" aboveAverage="0" equalAverage="0" bottom="0" percent="0" rank="0" text="" dxfId="73">
      <formula>$D24="Confirmé"</formula>
    </cfRule>
    <cfRule type="expression" priority="126" aboveAverage="0" equalAverage="0" bottom="0" percent="0" rank="0" text="" dxfId="74">
      <formula>$D24="Pressenti"</formula>
    </cfRule>
    <cfRule type="expression" priority="127" aboveAverage="0" equalAverage="0" bottom="0" percent="0" rank="0" text="" dxfId="0">
      <formula>$D24="Option"</formula>
    </cfRule>
  </conditionalFormatting>
  <conditionalFormatting sqref="G25">
    <cfRule type="expression" priority="128" aboveAverage="0" equalAverage="0" bottom="0" percent="0" rank="0" text="" dxfId="3">
      <formula>AND(ISNUMBER(G25),G25&gt;0)</formula>
    </cfRule>
    <cfRule type="expression" priority="129" aboveAverage="0" equalAverage="0" bottom="0" percent="0" rank="0" text="" dxfId="76">
      <formula>AND(ISNUMBER(G25),G25&lt;0)</formula>
    </cfRule>
    <cfRule type="expression" priority="130" aboveAverage="0" equalAverage="0" bottom="0" percent="0" rank="0" text="" dxfId="77">
      <formula>AND(ISNUMBER(G25),G25=0)</formula>
    </cfRule>
  </conditionalFormatting>
  <conditionalFormatting sqref="D25">
    <cfRule type="expression" priority="131" aboveAverage="0" equalAverage="0" bottom="0" percent="0" rank="0" text="" dxfId="73">
      <formula>$D25="Confirmé"</formula>
    </cfRule>
    <cfRule type="expression" priority="132" aboveAverage="0" equalAverage="0" bottom="0" percent="0" rank="0" text="" dxfId="74">
      <formula>$D25="Pressenti"</formula>
    </cfRule>
    <cfRule type="expression" priority="133" aboveAverage="0" equalAverage="0" bottom="0" percent="0" rank="0" text="" dxfId="0">
      <formula>$D25="Option"</formula>
    </cfRule>
  </conditionalFormatting>
  <conditionalFormatting sqref="G26">
    <cfRule type="expression" priority="134" aboveAverage="0" equalAverage="0" bottom="0" percent="0" rank="0" text="" dxfId="3">
      <formula>AND(ISNUMBER(G26),G26&gt;0)</formula>
    </cfRule>
    <cfRule type="expression" priority="135" aboveAverage="0" equalAverage="0" bottom="0" percent="0" rank="0" text="" dxfId="76">
      <formula>AND(ISNUMBER(G26),G26&lt;0)</formula>
    </cfRule>
    <cfRule type="expression" priority="136" aboveAverage="0" equalAverage="0" bottom="0" percent="0" rank="0" text="" dxfId="77">
      <formula>AND(ISNUMBER(G26),G26=0)</formula>
    </cfRule>
  </conditionalFormatting>
  <conditionalFormatting sqref="D26">
    <cfRule type="expression" priority="137" aboveAverage="0" equalAverage="0" bottom="0" percent="0" rank="0" text="" dxfId="73">
      <formula>$D26="Confirmé"</formula>
    </cfRule>
    <cfRule type="expression" priority="138" aboveAverage="0" equalAverage="0" bottom="0" percent="0" rank="0" text="" dxfId="74">
      <formula>$D26="Pressenti"</formula>
    </cfRule>
    <cfRule type="expression" priority="139" aboveAverage="0" equalAverage="0" bottom="0" percent="0" rank="0" text="" dxfId="0">
      <formula>$D26="Option"</formula>
    </cfRule>
  </conditionalFormatting>
  <conditionalFormatting sqref="G27">
    <cfRule type="expression" priority="140" aboveAverage="0" equalAverage="0" bottom="0" percent="0" rank="0" text="" dxfId="3">
      <formula>AND(ISNUMBER(G27),G27&gt;0)</formula>
    </cfRule>
    <cfRule type="expression" priority="141" aboveAverage="0" equalAverage="0" bottom="0" percent="0" rank="0" text="" dxfId="76">
      <formula>AND(ISNUMBER(G27),G27&lt;0)</formula>
    </cfRule>
    <cfRule type="expression" priority="142" aboveAverage="0" equalAverage="0" bottom="0" percent="0" rank="0" text="" dxfId="77">
      <formula>AND(ISNUMBER(G27),G27=0)</formula>
    </cfRule>
  </conditionalFormatting>
  <conditionalFormatting sqref="D27">
    <cfRule type="expression" priority="143" aboveAverage="0" equalAverage="0" bottom="0" percent="0" rank="0" text="" dxfId="73">
      <formula>$D27="Confirmé"</formula>
    </cfRule>
    <cfRule type="expression" priority="144" aboveAverage="0" equalAverage="0" bottom="0" percent="0" rank="0" text="" dxfId="74">
      <formula>$D27="Pressenti"</formula>
    </cfRule>
    <cfRule type="expression" priority="145" aboveAverage="0" equalAverage="0" bottom="0" percent="0" rank="0" text="" dxfId="0">
      <formula>$D27="Option"</formula>
    </cfRule>
  </conditionalFormatting>
  <conditionalFormatting sqref="G28">
    <cfRule type="expression" priority="146" aboveAverage="0" equalAverage="0" bottom="0" percent="0" rank="0" text="" dxfId="3">
      <formula>AND(ISNUMBER(G28),G28&gt;0)</formula>
    </cfRule>
    <cfRule type="expression" priority="147" aboveAverage="0" equalAverage="0" bottom="0" percent="0" rank="0" text="" dxfId="76">
      <formula>AND(ISNUMBER(G28),G28&lt;0)</formula>
    </cfRule>
    <cfRule type="expression" priority="148" aboveAverage="0" equalAverage="0" bottom="0" percent="0" rank="0" text="" dxfId="77">
      <formula>AND(ISNUMBER(G28),G28=0)</formula>
    </cfRule>
  </conditionalFormatting>
  <conditionalFormatting sqref="D28">
    <cfRule type="expression" priority="149" aboveAverage="0" equalAverage="0" bottom="0" percent="0" rank="0" text="" dxfId="73">
      <formula>$D28="Confirmé"</formula>
    </cfRule>
    <cfRule type="expression" priority="150" aboveAverage="0" equalAverage="0" bottom="0" percent="0" rank="0" text="" dxfId="74">
      <formula>$D28="Pressenti"</formula>
    </cfRule>
    <cfRule type="expression" priority="151" aboveAverage="0" equalAverage="0" bottom="0" percent="0" rank="0" text="" dxfId="0">
      <formula>$D28="Option"</formula>
    </cfRule>
  </conditionalFormatting>
  <conditionalFormatting sqref="G29">
    <cfRule type="expression" priority="152" aboveAverage="0" equalAverage="0" bottom="0" percent="0" rank="0" text="" dxfId="3">
      <formula>AND(ISNUMBER(G29),G29&gt;0)</formula>
    </cfRule>
    <cfRule type="expression" priority="153" aboveAverage="0" equalAverage="0" bottom="0" percent="0" rank="0" text="" dxfId="76">
      <formula>AND(ISNUMBER(G29),G29&lt;0)</formula>
    </cfRule>
    <cfRule type="expression" priority="154" aboveAverage="0" equalAverage="0" bottom="0" percent="0" rank="0" text="" dxfId="77">
      <formula>AND(ISNUMBER(G29),G29=0)</formula>
    </cfRule>
  </conditionalFormatting>
  <conditionalFormatting sqref="D29">
    <cfRule type="expression" priority="155" aboveAverage="0" equalAverage="0" bottom="0" percent="0" rank="0" text="" dxfId="73">
      <formula>$D29="Confirmé"</formula>
    </cfRule>
    <cfRule type="expression" priority="156" aboveAverage="0" equalAverage="0" bottom="0" percent="0" rank="0" text="" dxfId="74">
      <formula>$D29="Pressenti"</formula>
    </cfRule>
    <cfRule type="expression" priority="157" aboveAverage="0" equalAverage="0" bottom="0" percent="0" rank="0" text="" dxfId="0">
      <formula>$D29="Option"</formula>
    </cfRule>
  </conditionalFormatting>
  <conditionalFormatting sqref="G30">
    <cfRule type="expression" priority="158" aboveAverage="0" equalAverage="0" bottom="0" percent="0" rank="0" text="" dxfId="3">
      <formula>AND(ISNUMBER(G30),G30&gt;0)</formula>
    </cfRule>
    <cfRule type="expression" priority="159" aboveAverage="0" equalAverage="0" bottom="0" percent="0" rank="0" text="" dxfId="76">
      <formula>AND(ISNUMBER(G30),G30&lt;0)</formula>
    </cfRule>
    <cfRule type="expression" priority="160" aboveAverage="0" equalAverage="0" bottom="0" percent="0" rank="0" text="" dxfId="77">
      <formula>AND(ISNUMBER(G30),G30=0)</formula>
    </cfRule>
  </conditionalFormatting>
  <conditionalFormatting sqref="D30">
    <cfRule type="expression" priority="161" aboveAverage="0" equalAverage="0" bottom="0" percent="0" rank="0" text="" dxfId="73">
      <formula>$D30="Confirmé"</formula>
    </cfRule>
    <cfRule type="expression" priority="162" aboveAverage="0" equalAverage="0" bottom="0" percent="0" rank="0" text="" dxfId="74">
      <formula>$D30="Pressenti"</formula>
    </cfRule>
    <cfRule type="expression" priority="163" aboveAverage="0" equalAverage="0" bottom="0" percent="0" rank="0" text="" dxfId="0">
      <formula>$D30="Option"</formula>
    </cfRule>
  </conditionalFormatting>
  <conditionalFormatting sqref="G31">
    <cfRule type="expression" priority="164" aboveAverage="0" equalAverage="0" bottom="0" percent="0" rank="0" text="" dxfId="3">
      <formula>AND(ISNUMBER(G31),G31&gt;0)</formula>
    </cfRule>
    <cfRule type="expression" priority="165" aboveAverage="0" equalAverage="0" bottom="0" percent="0" rank="0" text="" dxfId="76">
      <formula>AND(ISNUMBER(G31),G31&lt;0)</formula>
    </cfRule>
    <cfRule type="expression" priority="166" aboveAverage="0" equalAverage="0" bottom="0" percent="0" rank="0" text="" dxfId="77">
      <formula>AND(ISNUMBER(G31),G31=0)</formula>
    </cfRule>
  </conditionalFormatting>
  <conditionalFormatting sqref="D31">
    <cfRule type="expression" priority="167" aboveAverage="0" equalAverage="0" bottom="0" percent="0" rank="0" text="" dxfId="73">
      <formula>$D31="Confirmé"</formula>
    </cfRule>
    <cfRule type="expression" priority="168" aboveAverage="0" equalAverage="0" bottom="0" percent="0" rank="0" text="" dxfId="74">
      <formula>$D31="Pressenti"</formula>
    </cfRule>
    <cfRule type="expression" priority="169" aboveAverage="0" equalAverage="0" bottom="0" percent="0" rank="0" text="" dxfId="0">
      <formula>$D31="Option"</formula>
    </cfRule>
  </conditionalFormatting>
  <conditionalFormatting sqref="G32">
    <cfRule type="expression" priority="170" aboveAverage="0" equalAverage="0" bottom="0" percent="0" rank="0" text="" dxfId="3">
      <formula>AND(ISNUMBER(G32),G32&gt;0)</formula>
    </cfRule>
    <cfRule type="expression" priority="171" aboveAverage="0" equalAverage="0" bottom="0" percent="0" rank="0" text="" dxfId="76">
      <formula>AND(ISNUMBER(G32),G32&lt;0)</formula>
    </cfRule>
    <cfRule type="expression" priority="172" aboveAverage="0" equalAverage="0" bottom="0" percent="0" rank="0" text="" dxfId="77">
      <formula>AND(ISNUMBER(G32),G32=0)</formula>
    </cfRule>
  </conditionalFormatting>
  <conditionalFormatting sqref="D32">
    <cfRule type="expression" priority="173" aboveAverage="0" equalAverage="0" bottom="0" percent="0" rank="0" text="" dxfId="73">
      <formula>$D32="Confirmé"</formula>
    </cfRule>
    <cfRule type="expression" priority="174" aboveAverage="0" equalAverage="0" bottom="0" percent="0" rank="0" text="" dxfId="74">
      <formula>$D32="Pressenti"</formula>
    </cfRule>
    <cfRule type="expression" priority="175" aboveAverage="0" equalAverage="0" bottom="0" percent="0" rank="0" text="" dxfId="0">
      <formula>$D32="Option"</formula>
    </cfRule>
  </conditionalFormatting>
  <conditionalFormatting sqref="G33">
    <cfRule type="expression" priority="176" aboveAverage="0" equalAverage="0" bottom="0" percent="0" rank="0" text="" dxfId="3">
      <formula>AND(ISNUMBER(G33),G33&gt;0)</formula>
    </cfRule>
    <cfRule type="expression" priority="177" aboveAverage="0" equalAverage="0" bottom="0" percent="0" rank="0" text="" dxfId="76">
      <formula>AND(ISNUMBER(G33),G33&lt;0)</formula>
    </cfRule>
    <cfRule type="expression" priority="178" aboveAverage="0" equalAverage="0" bottom="0" percent="0" rank="0" text="" dxfId="77">
      <formula>AND(ISNUMBER(G33),G33=0)</formula>
    </cfRule>
  </conditionalFormatting>
  <conditionalFormatting sqref="D33">
    <cfRule type="expression" priority="179" aboveAverage="0" equalAverage="0" bottom="0" percent="0" rank="0" text="" dxfId="73">
      <formula>$D33="Confirmé"</formula>
    </cfRule>
    <cfRule type="expression" priority="180" aboveAverage="0" equalAverage="0" bottom="0" percent="0" rank="0" text="" dxfId="74">
      <formula>$D33="Pressenti"</formula>
    </cfRule>
    <cfRule type="expression" priority="181" aboveAverage="0" equalAverage="0" bottom="0" percent="0" rank="0" text="" dxfId="0">
      <formula>$D33="Option"</formula>
    </cfRule>
  </conditionalFormatting>
  <conditionalFormatting sqref="G34">
    <cfRule type="expression" priority="182" aboveAverage="0" equalAverage="0" bottom="0" percent="0" rank="0" text="" dxfId="3">
      <formula>AND(ISNUMBER(G34),G34&gt;0)</formula>
    </cfRule>
    <cfRule type="expression" priority="183" aboveAverage="0" equalAverage="0" bottom="0" percent="0" rank="0" text="" dxfId="76">
      <formula>AND(ISNUMBER(G34),G34&lt;0)</formula>
    </cfRule>
    <cfRule type="expression" priority="184" aboveAverage="0" equalAverage="0" bottom="0" percent="0" rank="0" text="" dxfId="77">
      <formula>AND(ISNUMBER(G34),G34=0)</formula>
    </cfRule>
  </conditionalFormatting>
  <conditionalFormatting sqref="D34">
    <cfRule type="expression" priority="185" aboveAverage="0" equalAverage="0" bottom="0" percent="0" rank="0" text="" dxfId="73">
      <formula>$D34="Confirmé"</formula>
    </cfRule>
    <cfRule type="expression" priority="186" aboveAverage="0" equalAverage="0" bottom="0" percent="0" rank="0" text="" dxfId="74">
      <formula>$D34="Pressenti"</formula>
    </cfRule>
    <cfRule type="expression" priority="187" aboveAverage="0" equalAverage="0" bottom="0" percent="0" rank="0" text="" dxfId="0">
      <formula>$D34="Option"</formula>
    </cfRule>
  </conditionalFormatting>
  <conditionalFormatting sqref="G35">
    <cfRule type="expression" priority="188" aboveAverage="0" equalAverage="0" bottom="0" percent="0" rank="0" text="" dxfId="3">
      <formula>AND(ISNUMBER(G35),G35&gt;0)</formula>
    </cfRule>
    <cfRule type="expression" priority="189" aboveAverage="0" equalAverage="0" bottom="0" percent="0" rank="0" text="" dxfId="76">
      <formula>AND(ISNUMBER(G35),G35&lt;0)</formula>
    </cfRule>
    <cfRule type="expression" priority="190" aboveAverage="0" equalAverage="0" bottom="0" percent="0" rank="0" text="" dxfId="77">
      <formula>AND(ISNUMBER(G35),G35=0)</formula>
    </cfRule>
  </conditionalFormatting>
  <conditionalFormatting sqref="D35">
    <cfRule type="expression" priority="191" aboveAverage="0" equalAverage="0" bottom="0" percent="0" rank="0" text="" dxfId="73">
      <formula>$D35="Confirmé"</formula>
    </cfRule>
    <cfRule type="expression" priority="192" aboveAverage="0" equalAverage="0" bottom="0" percent="0" rank="0" text="" dxfId="74">
      <formula>$D35="Pressenti"</formula>
    </cfRule>
    <cfRule type="expression" priority="193" aboveAverage="0" equalAverage="0" bottom="0" percent="0" rank="0" text="" dxfId="0">
      <formula>$D35="Option"</formula>
    </cfRule>
  </conditionalFormatting>
  <conditionalFormatting sqref="G36">
    <cfRule type="expression" priority="194" aboveAverage="0" equalAverage="0" bottom="0" percent="0" rank="0" text="" dxfId="3">
      <formula>AND(ISNUMBER(G36),G36&gt;0)</formula>
    </cfRule>
    <cfRule type="expression" priority="195" aboveAverage="0" equalAverage="0" bottom="0" percent="0" rank="0" text="" dxfId="76">
      <formula>AND(ISNUMBER(G36),G36&lt;0)</formula>
    </cfRule>
    <cfRule type="expression" priority="196" aboveAverage="0" equalAverage="0" bottom="0" percent="0" rank="0" text="" dxfId="77">
      <formula>AND(ISNUMBER(G36),G36=0)</formula>
    </cfRule>
  </conditionalFormatting>
  <conditionalFormatting sqref="D36">
    <cfRule type="expression" priority="197" aboveAverage="0" equalAverage="0" bottom="0" percent="0" rank="0" text="" dxfId="73">
      <formula>$D36="Confirmé"</formula>
    </cfRule>
    <cfRule type="expression" priority="198" aboveAverage="0" equalAverage="0" bottom="0" percent="0" rank="0" text="" dxfId="74">
      <formula>$D36="Pressenti"</formula>
    </cfRule>
    <cfRule type="expression" priority="199" aboveAverage="0" equalAverage="0" bottom="0" percent="0" rank="0" text="" dxfId="0">
      <formula>$D36="Option"</formula>
    </cfRule>
  </conditionalFormatting>
  <conditionalFormatting sqref="G37">
    <cfRule type="expression" priority="200" aboveAverage="0" equalAverage="0" bottom="0" percent="0" rank="0" text="" dxfId="3">
      <formula>AND(ISNUMBER(G37),G37&gt;0)</formula>
    </cfRule>
    <cfRule type="expression" priority="201" aboveAverage="0" equalAverage="0" bottom="0" percent="0" rank="0" text="" dxfId="76">
      <formula>AND(ISNUMBER(G37),G37&lt;0)</formula>
    </cfRule>
    <cfRule type="expression" priority="202" aboveAverage="0" equalAverage="0" bottom="0" percent="0" rank="0" text="" dxfId="77">
      <formula>AND(ISNUMBER(G37),G37=0)</formula>
    </cfRule>
  </conditionalFormatting>
  <conditionalFormatting sqref="D37">
    <cfRule type="expression" priority="203" aboveAverage="0" equalAverage="0" bottom="0" percent="0" rank="0" text="" dxfId="73">
      <formula>$D37="Confirmé"</formula>
    </cfRule>
    <cfRule type="expression" priority="204" aboveAverage="0" equalAverage="0" bottom="0" percent="0" rank="0" text="" dxfId="74">
      <formula>$D37="Pressenti"</formula>
    </cfRule>
    <cfRule type="expression" priority="205" aboveAverage="0" equalAverage="0" bottom="0" percent="0" rank="0" text="" dxfId="0">
      <formula>$D37="Option"</formula>
    </cfRule>
  </conditionalFormatting>
  <conditionalFormatting sqref="G38">
    <cfRule type="expression" priority="206" aboveAverage="0" equalAverage="0" bottom="0" percent="0" rank="0" text="" dxfId="3">
      <formula>AND(ISNUMBER(G38),G38&gt;0)</formula>
    </cfRule>
    <cfRule type="expression" priority="207" aboveAverage="0" equalAverage="0" bottom="0" percent="0" rank="0" text="" dxfId="76">
      <formula>AND(ISNUMBER(G38),G38&lt;0)</formula>
    </cfRule>
    <cfRule type="expression" priority="208" aboveAverage="0" equalAverage="0" bottom="0" percent="0" rank="0" text="" dxfId="77">
      <formula>AND(ISNUMBER(G38),G38=0)</formula>
    </cfRule>
  </conditionalFormatting>
  <conditionalFormatting sqref="D38">
    <cfRule type="expression" priority="209" aboveAverage="0" equalAverage="0" bottom="0" percent="0" rank="0" text="" dxfId="73">
      <formula>$D38="Confirmé"</formula>
    </cfRule>
    <cfRule type="expression" priority="210" aboveAverage="0" equalAverage="0" bottom="0" percent="0" rank="0" text="" dxfId="74">
      <formula>$D38="Pressenti"</formula>
    </cfRule>
    <cfRule type="expression" priority="211" aboveAverage="0" equalAverage="0" bottom="0" percent="0" rank="0" text="" dxfId="0">
      <formula>$D38="Option"</formula>
    </cfRule>
  </conditionalFormatting>
  <conditionalFormatting sqref="G39">
    <cfRule type="expression" priority="212" aboveAverage="0" equalAverage="0" bottom="0" percent="0" rank="0" text="" dxfId="3">
      <formula>AND(ISNUMBER(G39),G39&gt;0)</formula>
    </cfRule>
    <cfRule type="expression" priority="213" aboveAverage="0" equalAverage="0" bottom="0" percent="0" rank="0" text="" dxfId="76">
      <formula>AND(ISNUMBER(G39),G39&lt;0)</formula>
    </cfRule>
    <cfRule type="expression" priority="214" aboveAverage="0" equalAverage="0" bottom="0" percent="0" rank="0" text="" dxfId="77">
      <formula>AND(ISNUMBER(G39),G39=0)</formula>
    </cfRule>
  </conditionalFormatting>
  <conditionalFormatting sqref="D39">
    <cfRule type="expression" priority="215" aboveAverage="0" equalAverage="0" bottom="0" percent="0" rank="0" text="" dxfId="73">
      <formula>$D39="Confirmé"</formula>
    </cfRule>
    <cfRule type="expression" priority="216" aboveAverage="0" equalAverage="0" bottom="0" percent="0" rank="0" text="" dxfId="74">
      <formula>$D39="Pressenti"</formula>
    </cfRule>
    <cfRule type="expression" priority="217" aboveAverage="0" equalAverage="0" bottom="0" percent="0" rank="0" text="" dxfId="0">
      <formula>$D39="Option"</formula>
    </cfRule>
  </conditionalFormatting>
  <conditionalFormatting sqref="G40">
    <cfRule type="expression" priority="218" aboveAverage="0" equalAverage="0" bottom="0" percent="0" rank="0" text="" dxfId="3">
      <formula>AND(ISNUMBER(G40),G40&gt;0)</formula>
    </cfRule>
    <cfRule type="expression" priority="219" aboveAverage="0" equalAverage="0" bottom="0" percent="0" rank="0" text="" dxfId="76">
      <formula>AND(ISNUMBER(G40),G40&lt;0)</formula>
    </cfRule>
    <cfRule type="expression" priority="220" aboveAverage="0" equalAverage="0" bottom="0" percent="0" rank="0" text="" dxfId="77">
      <formula>AND(ISNUMBER(G40),G40=0)</formula>
    </cfRule>
  </conditionalFormatting>
  <conditionalFormatting sqref="D40">
    <cfRule type="expression" priority="221" aboveAverage="0" equalAverage="0" bottom="0" percent="0" rank="0" text="" dxfId="73">
      <formula>$D40="Confirmé"</formula>
    </cfRule>
    <cfRule type="expression" priority="222" aboveAverage="0" equalAverage="0" bottom="0" percent="0" rank="0" text="" dxfId="74">
      <formula>$D40="Pressenti"</formula>
    </cfRule>
    <cfRule type="expression" priority="223" aboveAverage="0" equalAverage="0" bottom="0" percent="0" rank="0" text="" dxfId="0">
      <formula>$D40="Option"</formula>
    </cfRule>
  </conditionalFormatting>
  <conditionalFormatting sqref="G41">
    <cfRule type="expression" priority="224" aboveAverage="0" equalAverage="0" bottom="0" percent="0" rank="0" text="" dxfId="3">
      <formula>AND(ISNUMBER(G41),G41&gt;0)</formula>
    </cfRule>
    <cfRule type="expression" priority="225" aboveAverage="0" equalAverage="0" bottom="0" percent="0" rank="0" text="" dxfId="76">
      <formula>AND(ISNUMBER(G41),G41&lt;0)</formula>
    </cfRule>
    <cfRule type="expression" priority="226" aboveAverage="0" equalAverage="0" bottom="0" percent="0" rank="0" text="" dxfId="77">
      <formula>AND(ISNUMBER(G41),G41=0)</formula>
    </cfRule>
  </conditionalFormatting>
  <conditionalFormatting sqref="D41">
    <cfRule type="expression" priority="227" aboveAverage="0" equalAverage="0" bottom="0" percent="0" rank="0" text="" dxfId="73">
      <formula>$D41="Confirmé"</formula>
    </cfRule>
    <cfRule type="expression" priority="228" aboveAverage="0" equalAverage="0" bottom="0" percent="0" rank="0" text="" dxfId="74">
      <formula>$D41="Pressenti"</formula>
    </cfRule>
    <cfRule type="expression" priority="229" aboveAverage="0" equalAverage="0" bottom="0" percent="0" rank="0" text="" dxfId="0">
      <formula>$D41="Option"</formula>
    </cfRule>
  </conditionalFormatting>
  <conditionalFormatting sqref="G42">
    <cfRule type="expression" priority="230" aboveAverage="0" equalAverage="0" bottom="0" percent="0" rank="0" text="" dxfId="3">
      <formula>AND(ISNUMBER(G42),G42&gt;0)</formula>
    </cfRule>
    <cfRule type="expression" priority="231" aboveAverage="0" equalAverage="0" bottom="0" percent="0" rank="0" text="" dxfId="76">
      <formula>AND(ISNUMBER(G42),G42&lt;0)</formula>
    </cfRule>
    <cfRule type="expression" priority="232" aboveAverage="0" equalAverage="0" bottom="0" percent="0" rank="0" text="" dxfId="77">
      <formula>AND(ISNUMBER(G42),G42=0)</formula>
    </cfRule>
  </conditionalFormatting>
  <conditionalFormatting sqref="D42">
    <cfRule type="expression" priority="233" aboveAverage="0" equalAverage="0" bottom="0" percent="0" rank="0" text="" dxfId="73">
      <formula>$D42="Confirmé"</formula>
    </cfRule>
    <cfRule type="expression" priority="234" aboveAverage="0" equalAverage="0" bottom="0" percent="0" rank="0" text="" dxfId="74">
      <formula>$D42="Pressenti"</formula>
    </cfRule>
    <cfRule type="expression" priority="235" aboveAverage="0" equalAverage="0" bottom="0" percent="0" rank="0" text="" dxfId="0">
      <formula>$D42="Option"</formula>
    </cfRule>
  </conditionalFormatting>
  <conditionalFormatting sqref="G43">
    <cfRule type="expression" priority="236" aboveAverage="0" equalAverage="0" bottom="0" percent="0" rank="0" text="" dxfId="3">
      <formula>AND(ISNUMBER(G43),G43&gt;0)</formula>
    </cfRule>
    <cfRule type="expression" priority="237" aboveAverage="0" equalAverage="0" bottom="0" percent="0" rank="0" text="" dxfId="76">
      <formula>AND(ISNUMBER(G43),G43&lt;0)</formula>
    </cfRule>
    <cfRule type="expression" priority="238" aboveAverage="0" equalAverage="0" bottom="0" percent="0" rank="0" text="" dxfId="77">
      <formula>AND(ISNUMBER(G43),G43=0)</formula>
    </cfRule>
  </conditionalFormatting>
  <conditionalFormatting sqref="D43">
    <cfRule type="expression" priority="239" aboveAverage="0" equalAverage="0" bottom="0" percent="0" rank="0" text="" dxfId="73">
      <formula>$D43="Confirmé"</formula>
    </cfRule>
    <cfRule type="expression" priority="240" aboveAverage="0" equalAverage="0" bottom="0" percent="0" rank="0" text="" dxfId="74">
      <formula>$D43="Pressenti"</formula>
    </cfRule>
    <cfRule type="expression" priority="241" aboveAverage="0" equalAverage="0" bottom="0" percent="0" rank="0" text="" dxfId="0">
      <formula>$D43="Option"</formula>
    </cfRule>
  </conditionalFormatting>
  <conditionalFormatting sqref="G44">
    <cfRule type="expression" priority="242" aboveAverage="0" equalAverage="0" bottom="0" percent="0" rank="0" text="" dxfId="3">
      <formula>AND(ISNUMBER(G44),G44&gt;0)</formula>
    </cfRule>
    <cfRule type="expression" priority="243" aboveAverage="0" equalAverage="0" bottom="0" percent="0" rank="0" text="" dxfId="76">
      <formula>AND(ISNUMBER(G44),G44&lt;0)</formula>
    </cfRule>
    <cfRule type="expression" priority="244" aboveAverage="0" equalAverage="0" bottom="0" percent="0" rank="0" text="" dxfId="77">
      <formula>AND(ISNUMBER(G44),G44=0)</formula>
    </cfRule>
  </conditionalFormatting>
  <conditionalFormatting sqref="D44">
    <cfRule type="expression" priority="245" aboveAverage="0" equalAverage="0" bottom="0" percent="0" rank="0" text="" dxfId="73">
      <formula>$D44="Confirmé"</formula>
    </cfRule>
    <cfRule type="expression" priority="246" aboveAverage="0" equalAverage="0" bottom="0" percent="0" rank="0" text="" dxfId="74">
      <formula>$D44="Pressenti"</formula>
    </cfRule>
    <cfRule type="expression" priority="247" aboveAverage="0" equalAverage="0" bottom="0" percent="0" rank="0" text="" dxfId="0">
      <formula>$D44="Option"</formula>
    </cfRule>
  </conditionalFormatting>
  <conditionalFormatting sqref="G45">
    <cfRule type="expression" priority="248" aboveAverage="0" equalAverage="0" bottom="0" percent="0" rank="0" text="" dxfId="3">
      <formula>AND(ISNUMBER(G45),G45&gt;0)</formula>
    </cfRule>
    <cfRule type="expression" priority="249" aboveAverage="0" equalAverage="0" bottom="0" percent="0" rank="0" text="" dxfId="76">
      <formula>AND(ISNUMBER(G45),G45&lt;0)</formula>
    </cfRule>
    <cfRule type="expression" priority="250" aboveAverage="0" equalAverage="0" bottom="0" percent="0" rank="0" text="" dxfId="77">
      <formula>AND(ISNUMBER(G45),G45=0)</formula>
    </cfRule>
  </conditionalFormatting>
  <conditionalFormatting sqref="D45">
    <cfRule type="expression" priority="251" aboveAverage="0" equalAverage="0" bottom="0" percent="0" rank="0" text="" dxfId="73">
      <formula>$D45="Confirmé"</formula>
    </cfRule>
    <cfRule type="expression" priority="252" aboveAverage="0" equalAverage="0" bottom="0" percent="0" rank="0" text="" dxfId="74">
      <formula>$D45="Pressenti"</formula>
    </cfRule>
    <cfRule type="expression" priority="253" aboveAverage="0" equalAverage="0" bottom="0" percent="0" rank="0" text="" dxfId="0">
      <formula>$D45="Option"</formula>
    </cfRule>
  </conditionalFormatting>
  <conditionalFormatting sqref="G46">
    <cfRule type="expression" priority="254" aboveAverage="0" equalAverage="0" bottom="0" percent="0" rank="0" text="" dxfId="3">
      <formula>AND(ISNUMBER(G46),G46&gt;0)</formula>
    </cfRule>
    <cfRule type="expression" priority="255" aboveAverage="0" equalAverage="0" bottom="0" percent="0" rank="0" text="" dxfId="76">
      <formula>AND(ISNUMBER(G46),G46&lt;0)</formula>
    </cfRule>
    <cfRule type="expression" priority="256" aboveAverage="0" equalAverage="0" bottom="0" percent="0" rank="0" text="" dxfId="77">
      <formula>AND(ISNUMBER(G46),G46=0)</formula>
    </cfRule>
  </conditionalFormatting>
  <conditionalFormatting sqref="D46">
    <cfRule type="expression" priority="257" aboveAverage="0" equalAverage="0" bottom="0" percent="0" rank="0" text="" dxfId="73">
      <formula>$D46="Confirmé"</formula>
    </cfRule>
    <cfRule type="expression" priority="258" aboveAverage="0" equalAverage="0" bottom="0" percent="0" rank="0" text="" dxfId="74">
      <formula>$D46="Pressenti"</formula>
    </cfRule>
    <cfRule type="expression" priority="259" aboveAverage="0" equalAverage="0" bottom="0" percent="0" rank="0" text="" dxfId="0">
      <formula>$D46="Option"</formula>
    </cfRule>
  </conditionalFormatting>
  <conditionalFormatting sqref="G47">
    <cfRule type="expression" priority="260" aboveAverage="0" equalAverage="0" bottom="0" percent="0" rank="0" text="" dxfId="3">
      <formula>AND(ISNUMBER(G47),G47&gt;0)</formula>
    </cfRule>
    <cfRule type="expression" priority="261" aboveAverage="0" equalAverage="0" bottom="0" percent="0" rank="0" text="" dxfId="76">
      <formula>AND(ISNUMBER(G47),G47&lt;0)</formula>
    </cfRule>
    <cfRule type="expression" priority="262" aboveAverage="0" equalAverage="0" bottom="0" percent="0" rank="0" text="" dxfId="77">
      <formula>AND(ISNUMBER(G47),G47=0)</formula>
    </cfRule>
  </conditionalFormatting>
  <conditionalFormatting sqref="D47">
    <cfRule type="expression" priority="263" aboveAverage="0" equalAverage="0" bottom="0" percent="0" rank="0" text="" dxfId="73">
      <formula>$D47="Confirmé"</formula>
    </cfRule>
    <cfRule type="expression" priority="264" aboveAverage="0" equalAverage="0" bottom="0" percent="0" rank="0" text="" dxfId="74">
      <formula>$D47="Pressenti"</formula>
    </cfRule>
    <cfRule type="expression" priority="265" aboveAverage="0" equalAverage="0" bottom="0" percent="0" rank="0" text="" dxfId="0">
      <formula>$D47="Option"</formula>
    </cfRule>
  </conditionalFormatting>
  <conditionalFormatting sqref="G48">
    <cfRule type="expression" priority="266" aboveAverage="0" equalAverage="0" bottom="0" percent="0" rank="0" text="" dxfId="3">
      <formula>AND(ISNUMBER(G48),G48&gt;0)</formula>
    </cfRule>
    <cfRule type="expression" priority="267" aboveAverage="0" equalAverage="0" bottom="0" percent="0" rank="0" text="" dxfId="76">
      <formula>AND(ISNUMBER(G48),G48&lt;0)</formula>
    </cfRule>
    <cfRule type="expression" priority="268" aboveAverage="0" equalAverage="0" bottom="0" percent="0" rank="0" text="" dxfId="77">
      <formula>AND(ISNUMBER(G48),G48=0)</formula>
    </cfRule>
  </conditionalFormatting>
  <conditionalFormatting sqref="D48">
    <cfRule type="expression" priority="269" aboveAverage="0" equalAverage="0" bottom="0" percent="0" rank="0" text="" dxfId="73">
      <formula>$D48="Confirmé"</formula>
    </cfRule>
    <cfRule type="expression" priority="270" aboveAverage="0" equalAverage="0" bottom="0" percent="0" rank="0" text="" dxfId="74">
      <formula>$D48="Pressenti"</formula>
    </cfRule>
    <cfRule type="expression" priority="271" aboveAverage="0" equalAverage="0" bottom="0" percent="0" rank="0" text="" dxfId="0">
      <formula>$D48="Option"</formula>
    </cfRule>
  </conditionalFormatting>
  <conditionalFormatting sqref="G49">
    <cfRule type="expression" priority="272" aboveAverage="0" equalAverage="0" bottom="0" percent="0" rank="0" text="" dxfId="3">
      <formula>AND(ISNUMBER(G49),G49&gt;0)</formula>
    </cfRule>
    <cfRule type="expression" priority="273" aboveAverage="0" equalAverage="0" bottom="0" percent="0" rank="0" text="" dxfId="76">
      <formula>AND(ISNUMBER(G49),G49&lt;0)</formula>
    </cfRule>
    <cfRule type="expression" priority="274" aboveAverage="0" equalAverage="0" bottom="0" percent="0" rank="0" text="" dxfId="77">
      <formula>AND(ISNUMBER(G49),G49=0)</formula>
    </cfRule>
  </conditionalFormatting>
  <conditionalFormatting sqref="D49">
    <cfRule type="expression" priority="275" aboveAverage="0" equalAverage="0" bottom="0" percent="0" rank="0" text="" dxfId="73">
      <formula>$D49="Confirmé"</formula>
    </cfRule>
    <cfRule type="expression" priority="276" aboveAverage="0" equalAverage="0" bottom="0" percent="0" rank="0" text="" dxfId="74">
      <formula>$D49="Pressenti"</formula>
    </cfRule>
    <cfRule type="expression" priority="277" aboveAverage="0" equalAverage="0" bottom="0" percent="0" rank="0" text="" dxfId="0">
      <formula>$D49="Option"</formula>
    </cfRule>
  </conditionalFormatting>
  <conditionalFormatting sqref="G50">
    <cfRule type="expression" priority="278" aboveAverage="0" equalAverage="0" bottom="0" percent="0" rank="0" text="" dxfId="3">
      <formula>AND(ISNUMBER(G50),G50&gt;0)</formula>
    </cfRule>
    <cfRule type="expression" priority="279" aboveAverage="0" equalAverage="0" bottom="0" percent="0" rank="0" text="" dxfId="76">
      <formula>AND(ISNUMBER(G50),G50&lt;0)</formula>
    </cfRule>
    <cfRule type="expression" priority="280" aboveAverage="0" equalAverage="0" bottom="0" percent="0" rank="0" text="" dxfId="77">
      <formula>AND(ISNUMBER(G50),G50=0)</formula>
    </cfRule>
  </conditionalFormatting>
  <conditionalFormatting sqref="D50">
    <cfRule type="expression" priority="281" aboveAverage="0" equalAverage="0" bottom="0" percent="0" rank="0" text="" dxfId="73">
      <formula>$D50="Confirmé"</formula>
    </cfRule>
    <cfRule type="expression" priority="282" aboveAverage="0" equalAverage="0" bottom="0" percent="0" rank="0" text="" dxfId="74">
      <formula>$D50="Pressenti"</formula>
    </cfRule>
    <cfRule type="expression" priority="283" aboveAverage="0" equalAverage="0" bottom="0" percent="0" rank="0" text="" dxfId="0">
      <formula>$D50="Option"</formula>
    </cfRule>
  </conditionalFormatting>
  <conditionalFormatting sqref="G51">
    <cfRule type="expression" priority="284" aboveAverage="0" equalAverage="0" bottom="0" percent="0" rank="0" text="" dxfId="3">
      <formula>AND(ISNUMBER(G51),G51&gt;0)</formula>
    </cfRule>
    <cfRule type="expression" priority="285" aboveAverage="0" equalAverage="0" bottom="0" percent="0" rank="0" text="" dxfId="76">
      <formula>AND(ISNUMBER(G51),G51&lt;0)</formula>
    </cfRule>
    <cfRule type="expression" priority="286" aboveAverage="0" equalAverage="0" bottom="0" percent="0" rank="0" text="" dxfId="77">
      <formula>AND(ISNUMBER(G51),G51=0)</formula>
    </cfRule>
  </conditionalFormatting>
  <conditionalFormatting sqref="D51">
    <cfRule type="expression" priority="287" aboveAverage="0" equalAverage="0" bottom="0" percent="0" rank="0" text="" dxfId="73">
      <formula>$D51="Confirmé"</formula>
    </cfRule>
    <cfRule type="expression" priority="288" aboveAverage="0" equalAverage="0" bottom="0" percent="0" rank="0" text="" dxfId="74">
      <formula>$D51="Pressenti"</formula>
    </cfRule>
    <cfRule type="expression" priority="289" aboveAverage="0" equalAverage="0" bottom="0" percent="0" rank="0" text="" dxfId="0">
      <formula>$D51="Option"</formula>
    </cfRule>
  </conditionalFormatting>
  <conditionalFormatting sqref="G52">
    <cfRule type="expression" priority="290" aboveAverage="0" equalAverage="0" bottom="0" percent="0" rank="0" text="" dxfId="3">
      <formula>AND(ISNUMBER(G52),G52&gt;0)</formula>
    </cfRule>
    <cfRule type="expression" priority="291" aboveAverage="0" equalAverage="0" bottom="0" percent="0" rank="0" text="" dxfId="76">
      <formula>AND(ISNUMBER(G52),G52&lt;0)</formula>
    </cfRule>
    <cfRule type="expression" priority="292" aboveAverage="0" equalAverage="0" bottom="0" percent="0" rank="0" text="" dxfId="77">
      <formula>AND(ISNUMBER(G52),G52=0)</formula>
    </cfRule>
  </conditionalFormatting>
  <conditionalFormatting sqref="D52">
    <cfRule type="expression" priority="293" aboveAverage="0" equalAverage="0" bottom="0" percent="0" rank="0" text="" dxfId="73">
      <formula>$D52="Confirmé"</formula>
    </cfRule>
    <cfRule type="expression" priority="294" aboveAverage="0" equalAverage="0" bottom="0" percent="0" rank="0" text="" dxfId="74">
      <formula>$D52="Pressenti"</formula>
    </cfRule>
    <cfRule type="expression" priority="295" aboveAverage="0" equalAverage="0" bottom="0" percent="0" rank="0" text="" dxfId="0">
      <formula>$D52="Option"</formula>
    </cfRule>
  </conditionalFormatting>
  <conditionalFormatting sqref="G53">
    <cfRule type="expression" priority="296" aboveAverage="0" equalAverage="0" bottom="0" percent="0" rank="0" text="" dxfId="3">
      <formula>AND(ISNUMBER(G53),G53&gt;0)</formula>
    </cfRule>
    <cfRule type="expression" priority="297" aboveAverage="0" equalAverage="0" bottom="0" percent="0" rank="0" text="" dxfId="76">
      <formula>AND(ISNUMBER(G53),G53&lt;0)</formula>
    </cfRule>
    <cfRule type="expression" priority="298" aboveAverage="0" equalAverage="0" bottom="0" percent="0" rank="0" text="" dxfId="77">
      <formula>AND(ISNUMBER(G53),G53=0)</formula>
    </cfRule>
  </conditionalFormatting>
  <conditionalFormatting sqref="D53">
    <cfRule type="expression" priority="299" aboveAverage="0" equalAverage="0" bottom="0" percent="0" rank="0" text="" dxfId="73">
      <formula>$D53="Confirmé"</formula>
    </cfRule>
    <cfRule type="expression" priority="300" aboveAverage="0" equalAverage="0" bottom="0" percent="0" rank="0" text="" dxfId="74">
      <formula>$D53="Pressenti"</formula>
    </cfRule>
    <cfRule type="expression" priority="301" aboveAverage="0" equalAverage="0" bottom="0" percent="0" rank="0" text="" dxfId="0">
      <formula>$D53="Option"</formula>
    </cfRule>
  </conditionalFormatting>
  <conditionalFormatting sqref="G54">
    <cfRule type="expression" priority="302" aboveAverage="0" equalAverage="0" bottom="0" percent="0" rank="0" text="" dxfId="3">
      <formula>AND(ISNUMBER(G54),G54&gt;0)</formula>
    </cfRule>
    <cfRule type="expression" priority="303" aboveAverage="0" equalAverage="0" bottom="0" percent="0" rank="0" text="" dxfId="76">
      <formula>AND(ISNUMBER(G54),G54&lt;0)</formula>
    </cfRule>
    <cfRule type="expression" priority="304" aboveAverage="0" equalAverage="0" bottom="0" percent="0" rank="0" text="" dxfId="77">
      <formula>AND(ISNUMBER(G54),G54=0)</formula>
    </cfRule>
  </conditionalFormatting>
  <conditionalFormatting sqref="D54">
    <cfRule type="expression" priority="305" aboveAverage="0" equalAverage="0" bottom="0" percent="0" rank="0" text="" dxfId="73">
      <formula>$D54="Confirmé"</formula>
    </cfRule>
    <cfRule type="expression" priority="306" aboveAverage="0" equalAverage="0" bottom="0" percent="0" rank="0" text="" dxfId="74">
      <formula>$D54="Pressenti"</formula>
    </cfRule>
    <cfRule type="expression" priority="307" aboveAverage="0" equalAverage="0" bottom="0" percent="0" rank="0" text="" dxfId="0">
      <formula>$D54="Option"</formula>
    </cfRule>
  </conditionalFormatting>
  <conditionalFormatting sqref="G55">
    <cfRule type="expression" priority="308" aboveAverage="0" equalAverage="0" bottom="0" percent="0" rank="0" text="" dxfId="3">
      <formula>AND(ISNUMBER(G55),G55&gt;0)</formula>
    </cfRule>
    <cfRule type="expression" priority="309" aboveAverage="0" equalAverage="0" bottom="0" percent="0" rank="0" text="" dxfId="76">
      <formula>AND(ISNUMBER(G55),G55&lt;0)</formula>
    </cfRule>
    <cfRule type="expression" priority="310" aboveAverage="0" equalAverage="0" bottom="0" percent="0" rank="0" text="" dxfId="77">
      <formula>AND(ISNUMBER(G55),G55=0)</formula>
    </cfRule>
  </conditionalFormatting>
  <conditionalFormatting sqref="D55">
    <cfRule type="expression" priority="311" aboveAverage="0" equalAverage="0" bottom="0" percent="0" rank="0" text="" dxfId="73">
      <formula>$D55="Confirmé"</formula>
    </cfRule>
    <cfRule type="expression" priority="312" aboveAverage="0" equalAverage="0" bottom="0" percent="0" rank="0" text="" dxfId="74">
      <formula>$D55="Pressenti"</formula>
    </cfRule>
    <cfRule type="expression" priority="313" aboveAverage="0" equalAverage="0" bottom="0" percent="0" rank="0" text="" dxfId="0">
      <formula>$D55="Option"</formula>
    </cfRule>
  </conditionalFormatting>
  <conditionalFormatting sqref="G56">
    <cfRule type="expression" priority="314" aboveAverage="0" equalAverage="0" bottom="0" percent="0" rank="0" text="" dxfId="3">
      <formula>AND(ISNUMBER(G56),G56&gt;0)</formula>
    </cfRule>
    <cfRule type="expression" priority="315" aboveAverage="0" equalAverage="0" bottom="0" percent="0" rank="0" text="" dxfId="76">
      <formula>AND(ISNUMBER(G56),G56&lt;0)</formula>
    </cfRule>
    <cfRule type="expression" priority="316" aboveAverage="0" equalAverage="0" bottom="0" percent="0" rank="0" text="" dxfId="77">
      <formula>AND(ISNUMBER(G56),G56=0)</formula>
    </cfRule>
  </conditionalFormatting>
  <conditionalFormatting sqref="D56">
    <cfRule type="expression" priority="317" aboveAverage="0" equalAverage="0" bottom="0" percent="0" rank="0" text="" dxfId="73">
      <formula>$D56="Confirmé"</formula>
    </cfRule>
    <cfRule type="expression" priority="318" aboveAverage="0" equalAverage="0" bottom="0" percent="0" rank="0" text="" dxfId="74">
      <formula>$D56="Pressenti"</formula>
    </cfRule>
    <cfRule type="expression" priority="319" aboveAverage="0" equalAverage="0" bottom="0" percent="0" rank="0" text="" dxfId="0">
      <formula>$D56="Option"</formula>
    </cfRule>
  </conditionalFormatting>
  <conditionalFormatting sqref="G57">
    <cfRule type="expression" priority="320" aboveAverage="0" equalAverage="0" bottom="0" percent="0" rank="0" text="" dxfId="3">
      <formula>AND(ISNUMBER(G57),G57&gt;0)</formula>
    </cfRule>
    <cfRule type="expression" priority="321" aboveAverage="0" equalAverage="0" bottom="0" percent="0" rank="0" text="" dxfId="76">
      <formula>AND(ISNUMBER(G57),G57&lt;0)</formula>
    </cfRule>
    <cfRule type="expression" priority="322" aboveAverage="0" equalAverage="0" bottom="0" percent="0" rank="0" text="" dxfId="77">
      <formula>AND(ISNUMBER(G57),G57=0)</formula>
    </cfRule>
  </conditionalFormatting>
  <conditionalFormatting sqref="D57">
    <cfRule type="expression" priority="323" aboveAverage="0" equalAverage="0" bottom="0" percent="0" rank="0" text="" dxfId="73">
      <formula>$D57="Confirmé"</formula>
    </cfRule>
    <cfRule type="expression" priority="324" aboveAverage="0" equalAverage="0" bottom="0" percent="0" rank="0" text="" dxfId="74">
      <formula>$D57="Pressenti"</formula>
    </cfRule>
    <cfRule type="expression" priority="325" aboveAverage="0" equalAverage="0" bottom="0" percent="0" rank="0" text="" dxfId="0">
      <formula>$D57="Option"</formula>
    </cfRule>
  </conditionalFormatting>
  <conditionalFormatting sqref="G58">
    <cfRule type="expression" priority="326" aboveAverage="0" equalAverage="0" bottom="0" percent="0" rank="0" text="" dxfId="3">
      <formula>AND(ISNUMBER(G58),G58&gt;0)</formula>
    </cfRule>
    <cfRule type="expression" priority="327" aboveAverage="0" equalAverage="0" bottom="0" percent="0" rank="0" text="" dxfId="76">
      <formula>AND(ISNUMBER(G58),G58&lt;0)</formula>
    </cfRule>
    <cfRule type="expression" priority="328" aboveAverage="0" equalAverage="0" bottom="0" percent="0" rank="0" text="" dxfId="77">
      <formula>AND(ISNUMBER(G58),G58=0)</formula>
    </cfRule>
  </conditionalFormatting>
  <conditionalFormatting sqref="D58">
    <cfRule type="expression" priority="329" aboveAverage="0" equalAverage="0" bottom="0" percent="0" rank="0" text="" dxfId="73">
      <formula>$D58="Confirmé"</formula>
    </cfRule>
    <cfRule type="expression" priority="330" aboveAverage="0" equalAverage="0" bottom="0" percent="0" rank="0" text="" dxfId="74">
      <formula>$D58="Pressenti"</formula>
    </cfRule>
    <cfRule type="expression" priority="331" aboveAverage="0" equalAverage="0" bottom="0" percent="0" rank="0" text="" dxfId="0">
      <formula>$D58="Option"</formula>
    </cfRule>
  </conditionalFormatting>
  <conditionalFormatting sqref="G59">
    <cfRule type="expression" priority="332" aboveAverage="0" equalAverage="0" bottom="0" percent="0" rank="0" text="" dxfId="3">
      <formula>AND(ISNUMBER(G59),G59&gt;0)</formula>
    </cfRule>
    <cfRule type="expression" priority="333" aboveAverage="0" equalAverage="0" bottom="0" percent="0" rank="0" text="" dxfId="76">
      <formula>AND(ISNUMBER(G59),G59&lt;0)</formula>
    </cfRule>
    <cfRule type="expression" priority="334" aboveAverage="0" equalAverage="0" bottom="0" percent="0" rank="0" text="" dxfId="77">
      <formula>AND(ISNUMBER(G59),G59=0)</formula>
    </cfRule>
  </conditionalFormatting>
  <conditionalFormatting sqref="D59">
    <cfRule type="expression" priority="335" aboveAverage="0" equalAverage="0" bottom="0" percent="0" rank="0" text="" dxfId="73">
      <formula>$D59="Confirmé"</formula>
    </cfRule>
    <cfRule type="expression" priority="336" aboveAverage="0" equalAverage="0" bottom="0" percent="0" rank="0" text="" dxfId="74">
      <formula>$D59="Pressenti"</formula>
    </cfRule>
    <cfRule type="expression" priority="337" aboveAverage="0" equalAverage="0" bottom="0" percent="0" rank="0" text="" dxfId="0">
      <formula>$D59="Option"</formula>
    </cfRule>
  </conditionalFormatting>
  <conditionalFormatting sqref="G60">
    <cfRule type="expression" priority="338" aboveAverage="0" equalAverage="0" bottom="0" percent="0" rank="0" text="" dxfId="3">
      <formula>AND(ISNUMBER(G60),G60&gt;0)</formula>
    </cfRule>
    <cfRule type="expression" priority="339" aboveAverage="0" equalAverage="0" bottom="0" percent="0" rank="0" text="" dxfId="76">
      <formula>AND(ISNUMBER(G60),G60&lt;0)</formula>
    </cfRule>
    <cfRule type="expression" priority="340" aboveAverage="0" equalAverage="0" bottom="0" percent="0" rank="0" text="" dxfId="77">
      <formula>AND(ISNUMBER(G60),G60=0)</formula>
    </cfRule>
  </conditionalFormatting>
  <conditionalFormatting sqref="D60">
    <cfRule type="expression" priority="341" aboveAverage="0" equalAverage="0" bottom="0" percent="0" rank="0" text="" dxfId="73">
      <formula>$D60="Confirmé"</formula>
    </cfRule>
    <cfRule type="expression" priority="342" aboveAverage="0" equalAverage="0" bottom="0" percent="0" rank="0" text="" dxfId="74">
      <formula>$D60="Pressenti"</formula>
    </cfRule>
    <cfRule type="expression" priority="343" aboveAverage="0" equalAverage="0" bottom="0" percent="0" rank="0" text="" dxfId="0">
      <formula>$D60="Option"</formula>
    </cfRule>
  </conditionalFormatting>
  <conditionalFormatting sqref="G61">
    <cfRule type="expression" priority="344" aboveAverage="0" equalAverage="0" bottom="0" percent="0" rank="0" text="" dxfId="3">
      <formula>AND(ISNUMBER(G61),G61&gt;0)</formula>
    </cfRule>
    <cfRule type="expression" priority="345" aboveAverage="0" equalAverage="0" bottom="0" percent="0" rank="0" text="" dxfId="76">
      <formula>AND(ISNUMBER(G61),G61&lt;0)</formula>
    </cfRule>
    <cfRule type="expression" priority="346" aboveAverage="0" equalAverage="0" bottom="0" percent="0" rank="0" text="" dxfId="77">
      <formula>AND(ISNUMBER(G61),G61=0)</formula>
    </cfRule>
  </conditionalFormatting>
  <conditionalFormatting sqref="D61">
    <cfRule type="expression" priority="347" aboveAverage="0" equalAverage="0" bottom="0" percent="0" rank="0" text="" dxfId="73">
      <formula>$D61="Confirmé"</formula>
    </cfRule>
    <cfRule type="expression" priority="348" aboveAverage="0" equalAverage="0" bottom="0" percent="0" rank="0" text="" dxfId="74">
      <formula>$D61="Pressenti"</formula>
    </cfRule>
    <cfRule type="expression" priority="349" aboveAverage="0" equalAverage="0" bottom="0" percent="0" rank="0" text="" dxfId="0">
      <formula>$D61="Option"</formula>
    </cfRule>
  </conditionalFormatting>
  <conditionalFormatting sqref="G62">
    <cfRule type="expression" priority="350" aboveAverage="0" equalAverage="0" bottom="0" percent="0" rank="0" text="" dxfId="3">
      <formula>AND(ISNUMBER(G62),G62&gt;0)</formula>
    </cfRule>
    <cfRule type="expression" priority="351" aboveAverage="0" equalAverage="0" bottom="0" percent="0" rank="0" text="" dxfId="76">
      <formula>AND(ISNUMBER(G62),G62&lt;0)</formula>
    </cfRule>
    <cfRule type="expression" priority="352" aboveAverage="0" equalAverage="0" bottom="0" percent="0" rank="0" text="" dxfId="77">
      <formula>AND(ISNUMBER(G62),G62=0)</formula>
    </cfRule>
  </conditionalFormatting>
  <conditionalFormatting sqref="D62">
    <cfRule type="expression" priority="353" aboveAverage="0" equalAverage="0" bottom="0" percent="0" rank="0" text="" dxfId="73">
      <formula>$D62="Confirmé"</formula>
    </cfRule>
    <cfRule type="expression" priority="354" aboveAverage="0" equalAverage="0" bottom="0" percent="0" rank="0" text="" dxfId="74">
      <formula>$D62="Pressenti"</formula>
    </cfRule>
    <cfRule type="expression" priority="355" aboveAverage="0" equalAverage="0" bottom="0" percent="0" rank="0" text="" dxfId="0">
      <formula>$D62="Option"</formula>
    </cfRule>
  </conditionalFormatting>
  <conditionalFormatting sqref="G63">
    <cfRule type="expression" priority="356" aboveAverage="0" equalAverage="0" bottom="0" percent="0" rank="0" text="" dxfId="3">
      <formula>AND(ISNUMBER(G63),G63&gt;0)</formula>
    </cfRule>
    <cfRule type="expression" priority="357" aboveAverage="0" equalAverage="0" bottom="0" percent="0" rank="0" text="" dxfId="76">
      <formula>AND(ISNUMBER(G63),G63&lt;0)</formula>
    </cfRule>
    <cfRule type="expression" priority="358" aboveAverage="0" equalAverage="0" bottom="0" percent="0" rank="0" text="" dxfId="77">
      <formula>AND(ISNUMBER(G63),G63=0)</formula>
    </cfRule>
  </conditionalFormatting>
  <conditionalFormatting sqref="D63">
    <cfRule type="expression" priority="359" aboveAverage="0" equalAverage="0" bottom="0" percent="0" rank="0" text="" dxfId="73">
      <formula>$D63="Confirmé"</formula>
    </cfRule>
    <cfRule type="expression" priority="360" aboveAverage="0" equalAverage="0" bottom="0" percent="0" rank="0" text="" dxfId="74">
      <formula>$D63="Pressenti"</formula>
    </cfRule>
    <cfRule type="expression" priority="361" aboveAverage="0" equalAverage="0" bottom="0" percent="0" rank="0" text="" dxfId="0">
      <formula>$D63="Option"</formula>
    </cfRule>
  </conditionalFormatting>
  <conditionalFormatting sqref="G64">
    <cfRule type="expression" priority="362" aboveAverage="0" equalAverage="0" bottom="0" percent="0" rank="0" text="" dxfId="3">
      <formula>AND(ISNUMBER(G64),G64&gt;0)</formula>
    </cfRule>
    <cfRule type="expression" priority="363" aboveAverage="0" equalAverage="0" bottom="0" percent="0" rank="0" text="" dxfId="76">
      <formula>AND(ISNUMBER(G64),G64&lt;0)</formula>
    </cfRule>
    <cfRule type="expression" priority="364" aboveAverage="0" equalAverage="0" bottom="0" percent="0" rank="0" text="" dxfId="77">
      <formula>AND(ISNUMBER(G64),G64=0)</formula>
    </cfRule>
  </conditionalFormatting>
  <conditionalFormatting sqref="D64">
    <cfRule type="expression" priority="365" aboveAverage="0" equalAverage="0" bottom="0" percent="0" rank="0" text="" dxfId="73">
      <formula>$D64="Confirmé"</formula>
    </cfRule>
    <cfRule type="expression" priority="366" aboveAverage="0" equalAverage="0" bottom="0" percent="0" rank="0" text="" dxfId="74">
      <formula>$D64="Pressenti"</formula>
    </cfRule>
    <cfRule type="expression" priority="367" aboveAverage="0" equalAverage="0" bottom="0" percent="0" rank="0" text="" dxfId="0">
      <formula>$D64="Option"</formula>
    </cfRule>
  </conditionalFormatting>
  <conditionalFormatting sqref="G65">
    <cfRule type="expression" priority="368" aboveAverage="0" equalAverage="0" bottom="0" percent="0" rank="0" text="" dxfId="3">
      <formula>AND(ISNUMBER(G65),G65&gt;0)</formula>
    </cfRule>
    <cfRule type="expression" priority="369" aboveAverage="0" equalAverage="0" bottom="0" percent="0" rank="0" text="" dxfId="76">
      <formula>AND(ISNUMBER(G65),G65&lt;0)</formula>
    </cfRule>
    <cfRule type="expression" priority="370" aboveAverage="0" equalAverage="0" bottom="0" percent="0" rank="0" text="" dxfId="77">
      <formula>AND(ISNUMBER(G65),G65=0)</formula>
    </cfRule>
  </conditionalFormatting>
  <conditionalFormatting sqref="D65">
    <cfRule type="expression" priority="371" aboveAverage="0" equalAverage="0" bottom="0" percent="0" rank="0" text="" dxfId="73">
      <formula>$D65="Confirmé"</formula>
    </cfRule>
    <cfRule type="expression" priority="372" aboveAverage="0" equalAverage="0" bottom="0" percent="0" rank="0" text="" dxfId="74">
      <formula>$D65="Pressenti"</formula>
    </cfRule>
    <cfRule type="expression" priority="373" aboveAverage="0" equalAverage="0" bottom="0" percent="0" rank="0" text="" dxfId="0">
      <formula>$D65="Option"</formula>
    </cfRule>
  </conditionalFormatting>
  <conditionalFormatting sqref="G66">
    <cfRule type="expression" priority="374" aboveAverage="0" equalAverage="0" bottom="0" percent="0" rank="0" text="" dxfId="3">
      <formula>AND(ISNUMBER(G66),G66&gt;0)</formula>
    </cfRule>
    <cfRule type="expression" priority="375" aboveAverage="0" equalAverage="0" bottom="0" percent="0" rank="0" text="" dxfId="76">
      <formula>AND(ISNUMBER(G66),G66&lt;0)</formula>
    </cfRule>
    <cfRule type="expression" priority="376" aboveAverage="0" equalAverage="0" bottom="0" percent="0" rank="0" text="" dxfId="77">
      <formula>AND(ISNUMBER(G66),G66=0)</formula>
    </cfRule>
  </conditionalFormatting>
  <conditionalFormatting sqref="D66">
    <cfRule type="expression" priority="377" aboveAverage="0" equalAverage="0" bottom="0" percent="0" rank="0" text="" dxfId="73">
      <formula>$D66="Confirmé"</formula>
    </cfRule>
    <cfRule type="expression" priority="378" aboveAverage="0" equalAverage="0" bottom="0" percent="0" rank="0" text="" dxfId="74">
      <formula>$D66="Pressenti"</formula>
    </cfRule>
    <cfRule type="expression" priority="379" aboveAverage="0" equalAverage="0" bottom="0" percent="0" rank="0" text="" dxfId="0">
      <formula>$D66="Option"</formula>
    </cfRule>
  </conditionalFormatting>
  <conditionalFormatting sqref="G67">
    <cfRule type="expression" priority="380" aboveAverage="0" equalAverage="0" bottom="0" percent="0" rank="0" text="" dxfId="3">
      <formula>AND(ISNUMBER(G67),G67&gt;0)</formula>
    </cfRule>
    <cfRule type="expression" priority="381" aboveAverage="0" equalAverage="0" bottom="0" percent="0" rank="0" text="" dxfId="76">
      <formula>AND(ISNUMBER(G67),G67&lt;0)</formula>
    </cfRule>
    <cfRule type="expression" priority="382" aboveAverage="0" equalAverage="0" bottom="0" percent="0" rank="0" text="" dxfId="77">
      <formula>AND(ISNUMBER(G67),G67=0)</formula>
    </cfRule>
  </conditionalFormatting>
  <conditionalFormatting sqref="D67">
    <cfRule type="expression" priority="383" aboveAverage="0" equalAverage="0" bottom="0" percent="0" rank="0" text="" dxfId="73">
      <formula>$D67="Confirmé"</formula>
    </cfRule>
    <cfRule type="expression" priority="384" aboveAverage="0" equalAverage="0" bottom="0" percent="0" rank="0" text="" dxfId="74">
      <formula>$D67="Pressenti"</formula>
    </cfRule>
    <cfRule type="expression" priority="385" aboveAverage="0" equalAverage="0" bottom="0" percent="0" rank="0" text="" dxfId="0">
      <formula>$D67="Option"</formula>
    </cfRule>
  </conditionalFormatting>
  <conditionalFormatting sqref="G68">
    <cfRule type="expression" priority="386" aboveAverage="0" equalAverage="0" bottom="0" percent="0" rank="0" text="" dxfId="3">
      <formula>AND(ISNUMBER(G68),G68&gt;0)</formula>
    </cfRule>
    <cfRule type="expression" priority="387" aboveAverage="0" equalAverage="0" bottom="0" percent="0" rank="0" text="" dxfId="76">
      <formula>AND(ISNUMBER(G68),G68&lt;0)</formula>
    </cfRule>
    <cfRule type="expression" priority="388" aboveAverage="0" equalAverage="0" bottom="0" percent="0" rank="0" text="" dxfId="77">
      <formula>AND(ISNUMBER(G68),G68=0)</formula>
    </cfRule>
  </conditionalFormatting>
  <conditionalFormatting sqref="D68">
    <cfRule type="expression" priority="389" aboveAverage="0" equalAverage="0" bottom="0" percent="0" rank="0" text="" dxfId="73">
      <formula>$D68="Confirmé"</formula>
    </cfRule>
    <cfRule type="expression" priority="390" aboveAverage="0" equalAverage="0" bottom="0" percent="0" rank="0" text="" dxfId="74">
      <formula>$D68="Pressenti"</formula>
    </cfRule>
    <cfRule type="expression" priority="391" aboveAverage="0" equalAverage="0" bottom="0" percent="0" rank="0" text="" dxfId="0">
      <formula>$D68="Option"</formula>
    </cfRule>
  </conditionalFormatting>
  <conditionalFormatting sqref="G69">
    <cfRule type="expression" priority="392" aboveAverage="0" equalAverage="0" bottom="0" percent="0" rank="0" text="" dxfId="3">
      <formula>AND(ISNUMBER(G69),G69&gt;0)</formula>
    </cfRule>
    <cfRule type="expression" priority="393" aboveAverage="0" equalAverage="0" bottom="0" percent="0" rank="0" text="" dxfId="76">
      <formula>AND(ISNUMBER(G69),G69&lt;0)</formula>
    </cfRule>
    <cfRule type="expression" priority="394" aboveAverage="0" equalAverage="0" bottom="0" percent="0" rank="0" text="" dxfId="77">
      <formula>AND(ISNUMBER(G69),G69=0)</formula>
    </cfRule>
  </conditionalFormatting>
  <conditionalFormatting sqref="D69">
    <cfRule type="expression" priority="395" aboveAverage="0" equalAverage="0" bottom="0" percent="0" rank="0" text="" dxfId="73">
      <formula>$D69="Confirmé"</formula>
    </cfRule>
    <cfRule type="expression" priority="396" aboveAverage="0" equalAverage="0" bottom="0" percent="0" rank="0" text="" dxfId="74">
      <formula>$D69="Pressenti"</formula>
    </cfRule>
    <cfRule type="expression" priority="397" aboveAverage="0" equalAverage="0" bottom="0" percent="0" rank="0" text="" dxfId="0">
      <formula>$D69="Option"</formula>
    </cfRule>
  </conditionalFormatting>
  <conditionalFormatting sqref="G70">
    <cfRule type="expression" priority="398" aboveAverage="0" equalAverage="0" bottom="0" percent="0" rank="0" text="" dxfId="3">
      <formula>AND(ISNUMBER(G70),G70&gt;0)</formula>
    </cfRule>
    <cfRule type="expression" priority="399" aboveAverage="0" equalAverage="0" bottom="0" percent="0" rank="0" text="" dxfId="76">
      <formula>AND(ISNUMBER(G70),G70&lt;0)</formula>
    </cfRule>
    <cfRule type="expression" priority="400" aboveAverage="0" equalAverage="0" bottom="0" percent="0" rank="0" text="" dxfId="77">
      <formula>AND(ISNUMBER(G70),G70=0)</formula>
    </cfRule>
  </conditionalFormatting>
  <conditionalFormatting sqref="D70">
    <cfRule type="expression" priority="401" aboveAverage="0" equalAverage="0" bottom="0" percent="0" rank="0" text="" dxfId="73">
      <formula>$D70="Confirmé"</formula>
    </cfRule>
    <cfRule type="expression" priority="402" aboveAverage="0" equalAverage="0" bottom="0" percent="0" rank="0" text="" dxfId="74">
      <formula>$D70="Pressenti"</formula>
    </cfRule>
    <cfRule type="expression" priority="403" aboveAverage="0" equalAverage="0" bottom="0" percent="0" rank="0" text="" dxfId="0">
      <formula>$D70="Option"</formula>
    </cfRule>
  </conditionalFormatting>
  <conditionalFormatting sqref="G71">
    <cfRule type="expression" priority="404" aboveAverage="0" equalAverage="0" bottom="0" percent="0" rank="0" text="" dxfId="3">
      <formula>AND(ISNUMBER(G71),G71&gt;0)</formula>
    </cfRule>
    <cfRule type="expression" priority="405" aboveAverage="0" equalAverage="0" bottom="0" percent="0" rank="0" text="" dxfId="76">
      <formula>AND(ISNUMBER(G71),G71&lt;0)</formula>
    </cfRule>
    <cfRule type="expression" priority="406" aboveAverage="0" equalAverage="0" bottom="0" percent="0" rank="0" text="" dxfId="77">
      <formula>AND(ISNUMBER(G71),G71=0)</formula>
    </cfRule>
  </conditionalFormatting>
  <conditionalFormatting sqref="D71">
    <cfRule type="expression" priority="407" aboveAverage="0" equalAverage="0" bottom="0" percent="0" rank="0" text="" dxfId="73">
      <formula>$D71="Confirmé"</formula>
    </cfRule>
    <cfRule type="expression" priority="408" aboveAverage="0" equalAverage="0" bottom="0" percent="0" rank="0" text="" dxfId="74">
      <formula>$D71="Pressenti"</formula>
    </cfRule>
    <cfRule type="expression" priority="409" aboveAverage="0" equalAverage="0" bottom="0" percent="0" rank="0" text="" dxfId="0">
      <formula>$D71="Option"</formula>
    </cfRule>
  </conditionalFormatting>
  <conditionalFormatting sqref="G72">
    <cfRule type="expression" priority="410" aboveAverage="0" equalAverage="0" bottom="0" percent="0" rank="0" text="" dxfId="3">
      <formula>AND(ISNUMBER(G72),G72&gt;0)</formula>
    </cfRule>
    <cfRule type="expression" priority="411" aboveAverage="0" equalAverage="0" bottom="0" percent="0" rank="0" text="" dxfId="76">
      <formula>AND(ISNUMBER(G72),G72&lt;0)</formula>
    </cfRule>
    <cfRule type="expression" priority="412" aboveAverage="0" equalAverage="0" bottom="0" percent="0" rank="0" text="" dxfId="77">
      <formula>AND(ISNUMBER(G72),G72=0)</formula>
    </cfRule>
  </conditionalFormatting>
  <conditionalFormatting sqref="D72">
    <cfRule type="expression" priority="413" aboveAverage="0" equalAverage="0" bottom="0" percent="0" rank="0" text="" dxfId="73">
      <formula>$D72="Confirmé"</formula>
    </cfRule>
    <cfRule type="expression" priority="414" aboveAverage="0" equalAverage="0" bottom="0" percent="0" rank="0" text="" dxfId="74">
      <formula>$D72="Pressenti"</formula>
    </cfRule>
    <cfRule type="expression" priority="415" aboveAverage="0" equalAverage="0" bottom="0" percent="0" rank="0" text="" dxfId="0">
      <formula>$D72="Option"</formula>
    </cfRule>
  </conditionalFormatting>
  <conditionalFormatting sqref="G73">
    <cfRule type="expression" priority="416" aboveAverage="0" equalAverage="0" bottom="0" percent="0" rank="0" text="" dxfId="3">
      <formula>AND(ISNUMBER(G73),G73&gt;0)</formula>
    </cfRule>
    <cfRule type="expression" priority="417" aboveAverage="0" equalAverage="0" bottom="0" percent="0" rank="0" text="" dxfId="76">
      <formula>AND(ISNUMBER(G73),G73&lt;0)</formula>
    </cfRule>
    <cfRule type="expression" priority="418" aboveAverage="0" equalAverage="0" bottom="0" percent="0" rank="0" text="" dxfId="77">
      <formula>AND(ISNUMBER(G73),G73=0)</formula>
    </cfRule>
  </conditionalFormatting>
  <conditionalFormatting sqref="D73">
    <cfRule type="expression" priority="419" aboveAverage="0" equalAverage="0" bottom="0" percent="0" rank="0" text="" dxfId="73">
      <formula>$D73="Confirmé"</formula>
    </cfRule>
    <cfRule type="expression" priority="420" aboveAverage="0" equalAverage="0" bottom="0" percent="0" rank="0" text="" dxfId="74">
      <formula>$D73="Pressenti"</formula>
    </cfRule>
    <cfRule type="expression" priority="421" aboveAverage="0" equalAverage="0" bottom="0" percent="0" rank="0" text="" dxfId="0">
      <formula>$D73="Option"</formula>
    </cfRule>
  </conditionalFormatting>
  <conditionalFormatting sqref="G74">
    <cfRule type="expression" priority="422" aboveAverage="0" equalAverage="0" bottom="0" percent="0" rank="0" text="" dxfId="3">
      <formula>AND(ISNUMBER(G74),G74&gt;0)</formula>
    </cfRule>
    <cfRule type="expression" priority="423" aboveAverage="0" equalAverage="0" bottom="0" percent="0" rank="0" text="" dxfId="76">
      <formula>AND(ISNUMBER(G74),G74&lt;0)</formula>
    </cfRule>
    <cfRule type="expression" priority="424" aboveAverage="0" equalAverage="0" bottom="0" percent="0" rank="0" text="" dxfId="77">
      <formula>AND(ISNUMBER(G74),G74=0)</formula>
    </cfRule>
  </conditionalFormatting>
  <conditionalFormatting sqref="D74">
    <cfRule type="expression" priority="425" aboveAverage="0" equalAverage="0" bottom="0" percent="0" rank="0" text="" dxfId="73">
      <formula>$D74="Confirmé"</formula>
    </cfRule>
    <cfRule type="expression" priority="426" aboveAverage="0" equalAverage="0" bottom="0" percent="0" rank="0" text="" dxfId="74">
      <formula>$D74="Pressenti"</formula>
    </cfRule>
    <cfRule type="expression" priority="427" aboveAverage="0" equalAverage="0" bottom="0" percent="0" rank="0" text="" dxfId="0">
      <formula>$D74="Option"</formula>
    </cfRule>
  </conditionalFormatting>
  <conditionalFormatting sqref="G75">
    <cfRule type="expression" priority="428" aboveAverage="0" equalAverage="0" bottom="0" percent="0" rank="0" text="" dxfId="3">
      <formula>AND(ISNUMBER(G75),G75&gt;0)</formula>
    </cfRule>
    <cfRule type="expression" priority="429" aboveAverage="0" equalAverage="0" bottom="0" percent="0" rank="0" text="" dxfId="76">
      <formula>AND(ISNUMBER(G75),G75&lt;0)</formula>
    </cfRule>
    <cfRule type="expression" priority="430" aboveAverage="0" equalAverage="0" bottom="0" percent="0" rank="0" text="" dxfId="77">
      <formula>AND(ISNUMBER(G75),G75=0)</formula>
    </cfRule>
  </conditionalFormatting>
  <conditionalFormatting sqref="D75">
    <cfRule type="expression" priority="431" aboveAverage="0" equalAverage="0" bottom="0" percent="0" rank="0" text="" dxfId="73">
      <formula>$D75="Confirmé"</formula>
    </cfRule>
    <cfRule type="expression" priority="432" aboveAverage="0" equalAverage="0" bottom="0" percent="0" rank="0" text="" dxfId="74">
      <formula>$D75="Pressenti"</formula>
    </cfRule>
    <cfRule type="expression" priority="433" aboveAverage="0" equalAverage="0" bottom="0" percent="0" rank="0" text="" dxfId="0">
      <formula>$D75="Option"</formula>
    </cfRule>
  </conditionalFormatting>
  <conditionalFormatting sqref="G76">
    <cfRule type="expression" priority="434" aboveAverage="0" equalAverage="0" bottom="0" percent="0" rank="0" text="" dxfId="3">
      <formula>AND(ISNUMBER(G76),G76&gt;0)</formula>
    </cfRule>
    <cfRule type="expression" priority="435" aboveAverage="0" equalAverage="0" bottom="0" percent="0" rank="0" text="" dxfId="76">
      <formula>AND(ISNUMBER(G76),G76&lt;0)</formula>
    </cfRule>
    <cfRule type="expression" priority="436" aboveAverage="0" equalAverage="0" bottom="0" percent="0" rank="0" text="" dxfId="77">
      <formula>AND(ISNUMBER(G76),G76=0)</formula>
    </cfRule>
  </conditionalFormatting>
  <conditionalFormatting sqref="D76">
    <cfRule type="expression" priority="437" aboveAverage="0" equalAverage="0" bottom="0" percent="0" rank="0" text="" dxfId="73">
      <formula>$D76="Confirmé"</formula>
    </cfRule>
    <cfRule type="expression" priority="438" aboveAverage="0" equalAverage="0" bottom="0" percent="0" rank="0" text="" dxfId="74">
      <formula>$D76="Pressenti"</formula>
    </cfRule>
    <cfRule type="expression" priority="439" aboveAverage="0" equalAverage="0" bottom="0" percent="0" rank="0" text="" dxfId="0">
      <formula>$D76="Option"</formula>
    </cfRule>
  </conditionalFormatting>
  <conditionalFormatting sqref="G77">
    <cfRule type="expression" priority="440" aboveAverage="0" equalAverage="0" bottom="0" percent="0" rank="0" text="" dxfId="3">
      <formula>AND(ISNUMBER(G77),G77&gt;0)</formula>
    </cfRule>
    <cfRule type="expression" priority="441" aboveAverage="0" equalAverage="0" bottom="0" percent="0" rank="0" text="" dxfId="76">
      <formula>AND(ISNUMBER(G77),G77&lt;0)</formula>
    </cfRule>
    <cfRule type="expression" priority="442" aboveAverage="0" equalAverage="0" bottom="0" percent="0" rank="0" text="" dxfId="77">
      <formula>AND(ISNUMBER(G77),G77=0)</formula>
    </cfRule>
  </conditionalFormatting>
  <conditionalFormatting sqref="D77">
    <cfRule type="expression" priority="443" aboveAverage="0" equalAverage="0" bottom="0" percent="0" rank="0" text="" dxfId="73">
      <formula>$D77="Confirmé"</formula>
    </cfRule>
    <cfRule type="expression" priority="444" aboveAverage="0" equalAverage="0" bottom="0" percent="0" rank="0" text="" dxfId="74">
      <formula>$D77="Pressenti"</formula>
    </cfRule>
    <cfRule type="expression" priority="445" aboveAverage="0" equalAverage="0" bottom="0" percent="0" rank="0" text="" dxfId="0">
      <formula>$D77="Option"</formula>
    </cfRule>
  </conditionalFormatting>
  <conditionalFormatting sqref="G78">
    <cfRule type="expression" priority="446" aboveAverage="0" equalAverage="0" bottom="0" percent="0" rank="0" text="" dxfId="3">
      <formula>AND(ISNUMBER(G78),G78&gt;0)</formula>
    </cfRule>
    <cfRule type="expression" priority="447" aboveAverage="0" equalAverage="0" bottom="0" percent="0" rank="0" text="" dxfId="76">
      <formula>AND(ISNUMBER(G78),G78&lt;0)</formula>
    </cfRule>
    <cfRule type="expression" priority="448" aboveAverage="0" equalAverage="0" bottom="0" percent="0" rank="0" text="" dxfId="77">
      <formula>AND(ISNUMBER(G78),G78=0)</formula>
    </cfRule>
  </conditionalFormatting>
  <conditionalFormatting sqref="D78">
    <cfRule type="expression" priority="449" aboveAverage="0" equalAverage="0" bottom="0" percent="0" rank="0" text="" dxfId="73">
      <formula>$D78="Confirmé"</formula>
    </cfRule>
    <cfRule type="expression" priority="450" aboveAverage="0" equalAverage="0" bottom="0" percent="0" rank="0" text="" dxfId="74">
      <formula>$D78="Pressenti"</formula>
    </cfRule>
    <cfRule type="expression" priority="451" aboveAverage="0" equalAverage="0" bottom="0" percent="0" rank="0" text="" dxfId="0">
      <formula>$D78="Option"</formula>
    </cfRule>
  </conditionalFormatting>
  <conditionalFormatting sqref="G79">
    <cfRule type="expression" priority="452" aboveAverage="0" equalAverage="0" bottom="0" percent="0" rank="0" text="" dxfId="3">
      <formula>AND(ISNUMBER(G79),G79&gt;0)</formula>
    </cfRule>
    <cfRule type="expression" priority="453" aboveAverage="0" equalAverage="0" bottom="0" percent="0" rank="0" text="" dxfId="76">
      <formula>AND(ISNUMBER(G79),G79&lt;0)</formula>
    </cfRule>
    <cfRule type="expression" priority="454" aboveAverage="0" equalAverage="0" bottom="0" percent="0" rank="0" text="" dxfId="77">
      <formula>AND(ISNUMBER(G79),G79=0)</formula>
    </cfRule>
  </conditionalFormatting>
  <conditionalFormatting sqref="D79">
    <cfRule type="expression" priority="455" aboveAverage="0" equalAverage="0" bottom="0" percent="0" rank="0" text="" dxfId="73">
      <formula>$D79="Confirmé"</formula>
    </cfRule>
    <cfRule type="expression" priority="456" aboveAverage="0" equalAverage="0" bottom="0" percent="0" rank="0" text="" dxfId="74">
      <formula>$D79="Pressenti"</formula>
    </cfRule>
    <cfRule type="expression" priority="457" aboveAverage="0" equalAverage="0" bottom="0" percent="0" rank="0" text="" dxfId="0">
      <formula>$D79="Option"</formula>
    </cfRule>
  </conditionalFormatting>
  <conditionalFormatting sqref="G80">
    <cfRule type="expression" priority="458" aboveAverage="0" equalAverage="0" bottom="0" percent="0" rank="0" text="" dxfId="3">
      <formula>AND(ISNUMBER(G80),G80&gt;0)</formula>
    </cfRule>
    <cfRule type="expression" priority="459" aboveAverage="0" equalAverage="0" bottom="0" percent="0" rank="0" text="" dxfId="76">
      <formula>AND(ISNUMBER(G80),G80&lt;0)</formula>
    </cfRule>
    <cfRule type="expression" priority="460" aboveAverage="0" equalAverage="0" bottom="0" percent="0" rank="0" text="" dxfId="77">
      <formula>AND(ISNUMBER(G80),G80=0)</formula>
    </cfRule>
  </conditionalFormatting>
  <conditionalFormatting sqref="D80">
    <cfRule type="expression" priority="461" aboveAverage="0" equalAverage="0" bottom="0" percent="0" rank="0" text="" dxfId="73">
      <formula>$D80="Confirmé"</formula>
    </cfRule>
    <cfRule type="expression" priority="462" aboveAverage="0" equalAverage="0" bottom="0" percent="0" rank="0" text="" dxfId="74">
      <formula>$D80="Pressenti"</formula>
    </cfRule>
    <cfRule type="expression" priority="463" aboveAverage="0" equalAverage="0" bottom="0" percent="0" rank="0" text="" dxfId="0">
      <formula>$D80="Option"</formula>
    </cfRule>
  </conditionalFormatting>
  <conditionalFormatting sqref="G81">
    <cfRule type="expression" priority="464" aboveAverage="0" equalAverage="0" bottom="0" percent="0" rank="0" text="" dxfId="3">
      <formula>AND(ISNUMBER(G81),G81&gt;0)</formula>
    </cfRule>
    <cfRule type="expression" priority="465" aboveAverage="0" equalAverage="0" bottom="0" percent="0" rank="0" text="" dxfId="76">
      <formula>AND(ISNUMBER(G81),G81&lt;0)</formula>
    </cfRule>
    <cfRule type="expression" priority="466" aboveAverage="0" equalAverage="0" bottom="0" percent="0" rank="0" text="" dxfId="77">
      <formula>AND(ISNUMBER(G81),G81=0)</formula>
    </cfRule>
  </conditionalFormatting>
  <conditionalFormatting sqref="D81">
    <cfRule type="expression" priority="467" aboveAverage="0" equalAverage="0" bottom="0" percent="0" rank="0" text="" dxfId="73">
      <formula>$D81="Confirmé"</formula>
    </cfRule>
    <cfRule type="expression" priority="468" aboveAverage="0" equalAverage="0" bottom="0" percent="0" rank="0" text="" dxfId="74">
      <formula>$D81="Pressenti"</formula>
    </cfRule>
    <cfRule type="expression" priority="469" aboveAverage="0" equalAverage="0" bottom="0" percent="0" rank="0" text="" dxfId="0">
      <formula>$D81="Option"</formula>
    </cfRule>
  </conditionalFormatting>
  <conditionalFormatting sqref="G82">
    <cfRule type="expression" priority="470" aboveAverage="0" equalAverage="0" bottom="0" percent="0" rank="0" text="" dxfId="3">
      <formula>AND(ISNUMBER(G82),G82&gt;0)</formula>
    </cfRule>
    <cfRule type="expression" priority="471" aboveAverage="0" equalAverage="0" bottom="0" percent="0" rank="0" text="" dxfId="76">
      <formula>AND(ISNUMBER(G82),G82&lt;0)</formula>
    </cfRule>
    <cfRule type="expression" priority="472" aboveAverage="0" equalAverage="0" bottom="0" percent="0" rank="0" text="" dxfId="77">
      <formula>AND(ISNUMBER(G82),G82=0)</formula>
    </cfRule>
  </conditionalFormatting>
  <conditionalFormatting sqref="D82">
    <cfRule type="expression" priority="473" aboveAverage="0" equalAverage="0" bottom="0" percent="0" rank="0" text="" dxfId="73">
      <formula>$D82="Confirmé"</formula>
    </cfRule>
    <cfRule type="expression" priority="474" aboveAverage="0" equalAverage="0" bottom="0" percent="0" rank="0" text="" dxfId="74">
      <formula>$D82="Pressenti"</formula>
    </cfRule>
    <cfRule type="expression" priority="475" aboveAverage="0" equalAverage="0" bottom="0" percent="0" rank="0" text="" dxfId="0">
      <formula>$D82="Option"</formula>
    </cfRule>
  </conditionalFormatting>
  <conditionalFormatting sqref="G83">
    <cfRule type="expression" priority="476" aboveAverage="0" equalAverage="0" bottom="0" percent="0" rank="0" text="" dxfId="3">
      <formula>AND(ISNUMBER(G83),G83&gt;0)</formula>
    </cfRule>
    <cfRule type="expression" priority="477" aboveAverage="0" equalAverage="0" bottom="0" percent="0" rank="0" text="" dxfId="76">
      <formula>AND(ISNUMBER(G83),G83&lt;0)</formula>
    </cfRule>
    <cfRule type="expression" priority="478" aboveAverage="0" equalAverage="0" bottom="0" percent="0" rank="0" text="" dxfId="77">
      <formula>AND(ISNUMBER(G83),G83=0)</formula>
    </cfRule>
  </conditionalFormatting>
  <conditionalFormatting sqref="D83">
    <cfRule type="expression" priority="479" aboveAverage="0" equalAverage="0" bottom="0" percent="0" rank="0" text="" dxfId="73">
      <formula>$D83="Confirmé"</formula>
    </cfRule>
    <cfRule type="expression" priority="480" aboveAverage="0" equalAverage="0" bottom="0" percent="0" rank="0" text="" dxfId="74">
      <formula>$D83="Pressenti"</formula>
    </cfRule>
    <cfRule type="expression" priority="481" aboveAverage="0" equalAverage="0" bottom="0" percent="0" rank="0" text="" dxfId="0">
      <formula>$D83="Option"</formula>
    </cfRule>
  </conditionalFormatting>
  <conditionalFormatting sqref="G84">
    <cfRule type="expression" priority="482" aboveAverage="0" equalAverage="0" bottom="0" percent="0" rank="0" text="" dxfId="3">
      <formula>AND(ISNUMBER(G84),G84&gt;0)</formula>
    </cfRule>
    <cfRule type="expression" priority="483" aboveAverage="0" equalAverage="0" bottom="0" percent="0" rank="0" text="" dxfId="76">
      <formula>AND(ISNUMBER(G84),G84&lt;0)</formula>
    </cfRule>
    <cfRule type="expression" priority="484" aboveAverage="0" equalAverage="0" bottom="0" percent="0" rank="0" text="" dxfId="77">
      <formula>AND(ISNUMBER(G84),G84=0)</formula>
    </cfRule>
  </conditionalFormatting>
  <conditionalFormatting sqref="D84">
    <cfRule type="expression" priority="485" aboveAverage="0" equalAverage="0" bottom="0" percent="0" rank="0" text="" dxfId="73">
      <formula>$D84="Confirmé"</formula>
    </cfRule>
    <cfRule type="expression" priority="486" aboveAverage="0" equalAverage="0" bottom="0" percent="0" rank="0" text="" dxfId="74">
      <formula>$D84="Pressenti"</formula>
    </cfRule>
    <cfRule type="expression" priority="487" aboveAverage="0" equalAverage="0" bottom="0" percent="0" rank="0" text="" dxfId="0">
      <formula>$D84="Option"</formula>
    </cfRule>
  </conditionalFormatting>
  <conditionalFormatting sqref="G85">
    <cfRule type="expression" priority="488" aboveAverage="0" equalAverage="0" bottom="0" percent="0" rank="0" text="" dxfId="3">
      <formula>AND(ISNUMBER(G85),G85&gt;0)</formula>
    </cfRule>
    <cfRule type="expression" priority="489" aboveAverage="0" equalAverage="0" bottom="0" percent="0" rank="0" text="" dxfId="76">
      <formula>AND(ISNUMBER(G85),G85&lt;0)</formula>
    </cfRule>
    <cfRule type="expression" priority="490" aboveAverage="0" equalAverage="0" bottom="0" percent="0" rank="0" text="" dxfId="77">
      <formula>AND(ISNUMBER(G85),G85=0)</formula>
    </cfRule>
  </conditionalFormatting>
  <conditionalFormatting sqref="D85">
    <cfRule type="expression" priority="491" aboveAverage="0" equalAverage="0" bottom="0" percent="0" rank="0" text="" dxfId="73">
      <formula>$D85="Confirmé"</formula>
    </cfRule>
    <cfRule type="expression" priority="492" aboveAverage="0" equalAverage="0" bottom="0" percent="0" rank="0" text="" dxfId="74">
      <formula>$D85="Pressenti"</formula>
    </cfRule>
    <cfRule type="expression" priority="493" aboveAverage="0" equalAverage="0" bottom="0" percent="0" rank="0" text="" dxfId="0">
      <formula>$D85="Option"</formula>
    </cfRule>
  </conditionalFormatting>
  <conditionalFormatting sqref="G86">
    <cfRule type="expression" priority="494" aboveAverage="0" equalAverage="0" bottom="0" percent="0" rank="0" text="" dxfId="3">
      <formula>AND(ISNUMBER(G86),G86&gt;0)</formula>
    </cfRule>
    <cfRule type="expression" priority="495" aboveAverage="0" equalAverage="0" bottom="0" percent="0" rank="0" text="" dxfId="76">
      <formula>AND(ISNUMBER(G86),G86&lt;0)</formula>
    </cfRule>
    <cfRule type="expression" priority="496" aboveAverage="0" equalAverage="0" bottom="0" percent="0" rank="0" text="" dxfId="77">
      <formula>AND(ISNUMBER(G86),G86=0)</formula>
    </cfRule>
  </conditionalFormatting>
  <conditionalFormatting sqref="D86">
    <cfRule type="expression" priority="497" aboveAverage="0" equalAverage="0" bottom="0" percent="0" rank="0" text="" dxfId="73">
      <formula>$D86="Confirmé"</formula>
    </cfRule>
    <cfRule type="expression" priority="498" aboveAverage="0" equalAverage="0" bottom="0" percent="0" rank="0" text="" dxfId="74">
      <formula>$D86="Pressenti"</formula>
    </cfRule>
    <cfRule type="expression" priority="499" aboveAverage="0" equalAverage="0" bottom="0" percent="0" rank="0" text="" dxfId="0">
      <formula>$D86="Option"</formula>
    </cfRule>
  </conditionalFormatting>
  <conditionalFormatting sqref="G87">
    <cfRule type="expression" priority="500" aboveAverage="0" equalAverage="0" bottom="0" percent="0" rank="0" text="" dxfId="3">
      <formula>AND(ISNUMBER(G87),G87&gt;0)</formula>
    </cfRule>
    <cfRule type="expression" priority="501" aboveAverage="0" equalAverage="0" bottom="0" percent="0" rank="0" text="" dxfId="76">
      <formula>AND(ISNUMBER(G87),G87&lt;0)</formula>
    </cfRule>
    <cfRule type="expression" priority="502" aboveAverage="0" equalAverage="0" bottom="0" percent="0" rank="0" text="" dxfId="77">
      <formula>AND(ISNUMBER(G87),G87=0)</formula>
    </cfRule>
  </conditionalFormatting>
  <conditionalFormatting sqref="D87">
    <cfRule type="expression" priority="503" aboveAverage="0" equalAverage="0" bottom="0" percent="0" rank="0" text="" dxfId="73">
      <formula>$D87="Confirmé"</formula>
    </cfRule>
    <cfRule type="expression" priority="504" aboveAverage="0" equalAverage="0" bottom="0" percent="0" rank="0" text="" dxfId="74">
      <formula>$D87="Pressenti"</formula>
    </cfRule>
    <cfRule type="expression" priority="505" aboveAverage="0" equalAverage="0" bottom="0" percent="0" rank="0" text="" dxfId="0">
      <formula>$D87="Option"</formula>
    </cfRule>
  </conditionalFormatting>
  <conditionalFormatting sqref="G88">
    <cfRule type="expression" priority="506" aboveAverage="0" equalAverage="0" bottom="0" percent="0" rank="0" text="" dxfId="3">
      <formula>AND(ISNUMBER(G88),G88&gt;0)</formula>
    </cfRule>
    <cfRule type="expression" priority="507" aboveAverage="0" equalAverage="0" bottom="0" percent="0" rank="0" text="" dxfId="76">
      <formula>AND(ISNUMBER(G88),G88&lt;0)</formula>
    </cfRule>
    <cfRule type="expression" priority="508" aboveAverage="0" equalAverage="0" bottom="0" percent="0" rank="0" text="" dxfId="77">
      <formula>AND(ISNUMBER(G88),G88=0)</formula>
    </cfRule>
  </conditionalFormatting>
  <conditionalFormatting sqref="D88">
    <cfRule type="expression" priority="509" aboveAverage="0" equalAverage="0" bottom="0" percent="0" rank="0" text="" dxfId="73">
      <formula>$D88="Confirmé"</formula>
    </cfRule>
    <cfRule type="expression" priority="510" aboveAverage="0" equalAverage="0" bottom="0" percent="0" rank="0" text="" dxfId="74">
      <formula>$D88="Pressenti"</formula>
    </cfRule>
    <cfRule type="expression" priority="511" aboveAverage="0" equalAverage="0" bottom="0" percent="0" rank="0" text="" dxfId="0">
      <formula>$D88="Option"</formula>
    </cfRule>
  </conditionalFormatting>
  <conditionalFormatting sqref="G89">
    <cfRule type="expression" priority="512" aboveAverage="0" equalAverage="0" bottom="0" percent="0" rank="0" text="" dxfId="3">
      <formula>AND(ISNUMBER(G89),G89&gt;0)</formula>
    </cfRule>
    <cfRule type="expression" priority="513" aboveAverage="0" equalAverage="0" bottom="0" percent="0" rank="0" text="" dxfId="76">
      <formula>AND(ISNUMBER(G89),G89&lt;0)</formula>
    </cfRule>
    <cfRule type="expression" priority="514" aboveAverage="0" equalAverage="0" bottom="0" percent="0" rank="0" text="" dxfId="77">
      <formula>AND(ISNUMBER(G89),G89=0)</formula>
    </cfRule>
  </conditionalFormatting>
  <conditionalFormatting sqref="D89">
    <cfRule type="expression" priority="515" aboveAverage="0" equalAverage="0" bottom="0" percent="0" rank="0" text="" dxfId="73">
      <formula>$D89="Confirmé"</formula>
    </cfRule>
    <cfRule type="expression" priority="516" aboveAverage="0" equalAverage="0" bottom="0" percent="0" rank="0" text="" dxfId="74">
      <formula>$D89="Pressenti"</formula>
    </cfRule>
    <cfRule type="expression" priority="517" aboveAverage="0" equalAverage="0" bottom="0" percent="0" rank="0" text="" dxfId="0">
      <formula>$D89="Option"</formula>
    </cfRule>
  </conditionalFormatting>
  <conditionalFormatting sqref="G90">
    <cfRule type="expression" priority="518" aboveAverage="0" equalAverage="0" bottom="0" percent="0" rank="0" text="" dxfId="3">
      <formula>AND(ISNUMBER(G90),G90&gt;0)</formula>
    </cfRule>
    <cfRule type="expression" priority="519" aboveAverage="0" equalAverage="0" bottom="0" percent="0" rank="0" text="" dxfId="76">
      <formula>AND(ISNUMBER(G90),G90&lt;0)</formula>
    </cfRule>
    <cfRule type="expression" priority="520" aboveAverage="0" equalAverage="0" bottom="0" percent="0" rank="0" text="" dxfId="77">
      <formula>AND(ISNUMBER(G90),G90=0)</formula>
    </cfRule>
  </conditionalFormatting>
  <conditionalFormatting sqref="D90">
    <cfRule type="expression" priority="521" aboveAverage="0" equalAverage="0" bottom="0" percent="0" rank="0" text="" dxfId="73">
      <formula>$D90="Confirmé"</formula>
    </cfRule>
    <cfRule type="expression" priority="522" aboveAverage="0" equalAverage="0" bottom="0" percent="0" rank="0" text="" dxfId="74">
      <formula>$D90="Pressenti"</formula>
    </cfRule>
    <cfRule type="expression" priority="523" aboveAverage="0" equalAverage="0" bottom="0" percent="0" rank="0" text="" dxfId="0">
      <formula>$D90="Option"</formula>
    </cfRule>
  </conditionalFormatting>
  <conditionalFormatting sqref="G91">
    <cfRule type="expression" priority="524" aboveAverage="0" equalAverage="0" bottom="0" percent="0" rank="0" text="" dxfId="3">
      <formula>AND(ISNUMBER(G91),G91&gt;0)</formula>
    </cfRule>
    <cfRule type="expression" priority="525" aboveAverage="0" equalAverage="0" bottom="0" percent="0" rank="0" text="" dxfId="76">
      <formula>AND(ISNUMBER(G91),G91&lt;0)</formula>
    </cfRule>
    <cfRule type="expression" priority="526" aboveAverage="0" equalAverage="0" bottom="0" percent="0" rank="0" text="" dxfId="77">
      <formula>AND(ISNUMBER(G91),G91=0)</formula>
    </cfRule>
  </conditionalFormatting>
  <conditionalFormatting sqref="D91">
    <cfRule type="expression" priority="527" aboveAverage="0" equalAverage="0" bottom="0" percent="0" rank="0" text="" dxfId="73">
      <formula>$D91="Confirmé"</formula>
    </cfRule>
    <cfRule type="expression" priority="528" aboveAverage="0" equalAverage="0" bottom="0" percent="0" rank="0" text="" dxfId="74">
      <formula>$D91="Pressenti"</formula>
    </cfRule>
    <cfRule type="expression" priority="529" aboveAverage="0" equalAverage="0" bottom="0" percent="0" rank="0" text="" dxfId="0">
      <formula>$D91="Option"</formula>
    </cfRule>
  </conditionalFormatting>
  <conditionalFormatting sqref="G92">
    <cfRule type="expression" priority="530" aboveAverage="0" equalAverage="0" bottom="0" percent="0" rank="0" text="" dxfId="3">
      <formula>AND(ISNUMBER(G92),G92&gt;0)</formula>
    </cfRule>
    <cfRule type="expression" priority="531" aboveAverage="0" equalAverage="0" bottom="0" percent="0" rank="0" text="" dxfId="76">
      <formula>AND(ISNUMBER(G92),G92&lt;0)</formula>
    </cfRule>
    <cfRule type="expression" priority="532" aboveAverage="0" equalAverage="0" bottom="0" percent="0" rank="0" text="" dxfId="77">
      <formula>AND(ISNUMBER(G92),G92=0)</formula>
    </cfRule>
  </conditionalFormatting>
  <conditionalFormatting sqref="D92">
    <cfRule type="expression" priority="533" aboveAverage="0" equalAverage="0" bottom="0" percent="0" rank="0" text="" dxfId="73">
      <formula>$D92="Confirmé"</formula>
    </cfRule>
    <cfRule type="expression" priority="534" aboveAverage="0" equalAverage="0" bottom="0" percent="0" rank="0" text="" dxfId="74">
      <formula>$D92="Pressenti"</formula>
    </cfRule>
    <cfRule type="expression" priority="535" aboveAverage="0" equalAverage="0" bottom="0" percent="0" rank="0" text="" dxfId="0">
      <formula>$D92="Option"</formula>
    </cfRule>
  </conditionalFormatting>
  <conditionalFormatting sqref="G93">
    <cfRule type="expression" priority="536" aboveAverage="0" equalAverage="0" bottom="0" percent="0" rank="0" text="" dxfId="3">
      <formula>AND(ISNUMBER(G93),G93&gt;0)</formula>
    </cfRule>
    <cfRule type="expression" priority="537" aboveAverage="0" equalAverage="0" bottom="0" percent="0" rank="0" text="" dxfId="76">
      <formula>AND(ISNUMBER(G93),G93&lt;0)</formula>
    </cfRule>
    <cfRule type="expression" priority="538" aboveAverage="0" equalAverage="0" bottom="0" percent="0" rank="0" text="" dxfId="77">
      <formula>AND(ISNUMBER(G93),G93=0)</formula>
    </cfRule>
  </conditionalFormatting>
  <conditionalFormatting sqref="D93">
    <cfRule type="expression" priority="539" aboveAverage="0" equalAverage="0" bottom="0" percent="0" rank="0" text="" dxfId="73">
      <formula>$D93="Confirmé"</formula>
    </cfRule>
    <cfRule type="expression" priority="540" aboveAverage="0" equalAverage="0" bottom="0" percent="0" rank="0" text="" dxfId="74">
      <formula>$D93="Pressenti"</formula>
    </cfRule>
    <cfRule type="expression" priority="541" aboveAverage="0" equalAverage="0" bottom="0" percent="0" rank="0" text="" dxfId="0">
      <formula>$D93="Option"</formula>
    </cfRule>
  </conditionalFormatting>
  <conditionalFormatting sqref="G94">
    <cfRule type="expression" priority="542" aboveAverage="0" equalAverage="0" bottom="0" percent="0" rank="0" text="" dxfId="3">
      <formula>AND(ISNUMBER(G94),G94&gt;0)</formula>
    </cfRule>
    <cfRule type="expression" priority="543" aboveAverage="0" equalAverage="0" bottom="0" percent="0" rank="0" text="" dxfId="76">
      <formula>AND(ISNUMBER(G94),G94&lt;0)</formula>
    </cfRule>
    <cfRule type="expression" priority="544" aboveAverage="0" equalAverage="0" bottom="0" percent="0" rank="0" text="" dxfId="77">
      <formula>AND(ISNUMBER(G94),G94=0)</formula>
    </cfRule>
  </conditionalFormatting>
  <conditionalFormatting sqref="D94">
    <cfRule type="expression" priority="545" aboveAverage="0" equalAverage="0" bottom="0" percent="0" rank="0" text="" dxfId="73">
      <formula>$D94="Confirmé"</formula>
    </cfRule>
    <cfRule type="expression" priority="546" aboveAverage="0" equalAverage="0" bottom="0" percent="0" rank="0" text="" dxfId="74">
      <formula>$D94="Pressenti"</formula>
    </cfRule>
    <cfRule type="expression" priority="547" aboveAverage="0" equalAverage="0" bottom="0" percent="0" rank="0" text="" dxfId="0">
      <formula>$D94="Option"</formula>
    </cfRule>
  </conditionalFormatting>
  <conditionalFormatting sqref="G95">
    <cfRule type="expression" priority="548" aboveAverage="0" equalAverage="0" bottom="0" percent="0" rank="0" text="" dxfId="3">
      <formula>AND(ISNUMBER(G95),G95&gt;0)</formula>
    </cfRule>
    <cfRule type="expression" priority="549" aboveAverage="0" equalAverage="0" bottom="0" percent="0" rank="0" text="" dxfId="76">
      <formula>AND(ISNUMBER(G95),G95&lt;0)</formula>
    </cfRule>
    <cfRule type="expression" priority="550" aboveAverage="0" equalAverage="0" bottom="0" percent="0" rank="0" text="" dxfId="77">
      <formula>AND(ISNUMBER(G95),G95=0)</formula>
    </cfRule>
  </conditionalFormatting>
  <conditionalFormatting sqref="D95">
    <cfRule type="expression" priority="551" aboveAverage="0" equalAverage="0" bottom="0" percent="0" rank="0" text="" dxfId="73">
      <formula>$D95="Confirmé"</formula>
    </cfRule>
    <cfRule type="expression" priority="552" aboveAverage="0" equalAverage="0" bottom="0" percent="0" rank="0" text="" dxfId="74">
      <formula>$D95="Pressenti"</formula>
    </cfRule>
    <cfRule type="expression" priority="553" aboveAverage="0" equalAverage="0" bottom="0" percent="0" rank="0" text="" dxfId="0">
      <formula>$D95="Option"</formula>
    </cfRule>
  </conditionalFormatting>
  <conditionalFormatting sqref="G96">
    <cfRule type="expression" priority="554" aboveAverage="0" equalAverage="0" bottom="0" percent="0" rank="0" text="" dxfId="3">
      <formula>AND(ISNUMBER(G96),G96&gt;0)</formula>
    </cfRule>
    <cfRule type="expression" priority="555" aboveAverage="0" equalAverage="0" bottom="0" percent="0" rank="0" text="" dxfId="76">
      <formula>AND(ISNUMBER(G96),G96&lt;0)</formula>
    </cfRule>
    <cfRule type="expression" priority="556" aboveAverage="0" equalAverage="0" bottom="0" percent="0" rank="0" text="" dxfId="77">
      <formula>AND(ISNUMBER(G96),G96=0)</formula>
    </cfRule>
  </conditionalFormatting>
  <conditionalFormatting sqref="D96">
    <cfRule type="expression" priority="557" aboveAverage="0" equalAverage="0" bottom="0" percent="0" rank="0" text="" dxfId="73">
      <formula>$D96="Confirmé"</formula>
    </cfRule>
    <cfRule type="expression" priority="558" aboveAverage="0" equalAverage="0" bottom="0" percent="0" rank="0" text="" dxfId="74">
      <formula>$D96="Pressenti"</formula>
    </cfRule>
    <cfRule type="expression" priority="559" aboveAverage="0" equalAverage="0" bottom="0" percent="0" rank="0" text="" dxfId="0">
      <formula>$D96="Option"</formula>
    </cfRule>
  </conditionalFormatting>
  <conditionalFormatting sqref="G97">
    <cfRule type="expression" priority="560" aboveAverage="0" equalAverage="0" bottom="0" percent="0" rank="0" text="" dxfId="3">
      <formula>AND(ISNUMBER(G97),G97&gt;0)</formula>
    </cfRule>
    <cfRule type="expression" priority="561" aboveAverage="0" equalAverage="0" bottom="0" percent="0" rank="0" text="" dxfId="76">
      <formula>AND(ISNUMBER(G97),G97&lt;0)</formula>
    </cfRule>
    <cfRule type="expression" priority="562" aboveAverage="0" equalAverage="0" bottom="0" percent="0" rank="0" text="" dxfId="77">
      <formula>AND(ISNUMBER(G97),G97=0)</formula>
    </cfRule>
  </conditionalFormatting>
  <conditionalFormatting sqref="D97">
    <cfRule type="expression" priority="563" aboveAverage="0" equalAverage="0" bottom="0" percent="0" rank="0" text="" dxfId="73">
      <formula>$D97="Confirmé"</formula>
    </cfRule>
    <cfRule type="expression" priority="564" aboveAverage="0" equalAverage="0" bottom="0" percent="0" rank="0" text="" dxfId="74">
      <formula>$D97="Pressenti"</formula>
    </cfRule>
    <cfRule type="expression" priority="565" aboveAverage="0" equalAverage="0" bottom="0" percent="0" rank="0" text="" dxfId="0">
      <formula>$D97="Option"</formula>
    </cfRule>
  </conditionalFormatting>
  <conditionalFormatting sqref="G98">
    <cfRule type="expression" priority="566" aboveAverage="0" equalAverage="0" bottom="0" percent="0" rank="0" text="" dxfId="3">
      <formula>AND(ISNUMBER(G98),G98&gt;0)</formula>
    </cfRule>
    <cfRule type="expression" priority="567" aboveAverage="0" equalAverage="0" bottom="0" percent="0" rank="0" text="" dxfId="76">
      <formula>AND(ISNUMBER(G98),G98&lt;0)</formula>
    </cfRule>
    <cfRule type="expression" priority="568" aboveAverage="0" equalAverage="0" bottom="0" percent="0" rank="0" text="" dxfId="77">
      <formula>AND(ISNUMBER(G98),G98=0)</formula>
    </cfRule>
  </conditionalFormatting>
  <conditionalFormatting sqref="D98">
    <cfRule type="expression" priority="569" aboveAverage="0" equalAverage="0" bottom="0" percent="0" rank="0" text="" dxfId="73">
      <formula>$D98="Confirmé"</formula>
    </cfRule>
    <cfRule type="expression" priority="570" aboveAverage="0" equalAverage="0" bottom="0" percent="0" rank="0" text="" dxfId="74">
      <formula>$D98="Pressenti"</formula>
    </cfRule>
    <cfRule type="expression" priority="571" aboveAverage="0" equalAverage="0" bottom="0" percent="0" rank="0" text="" dxfId="0">
      <formula>$D98="Option"</formula>
    </cfRule>
  </conditionalFormatting>
  <conditionalFormatting sqref="G99">
    <cfRule type="expression" priority="572" aboveAverage="0" equalAverage="0" bottom="0" percent="0" rank="0" text="" dxfId="3">
      <formula>AND(ISNUMBER(G99),G99&gt;0)</formula>
    </cfRule>
    <cfRule type="expression" priority="573" aboveAverage="0" equalAverage="0" bottom="0" percent="0" rank="0" text="" dxfId="76">
      <formula>AND(ISNUMBER(G99),G99&lt;0)</formula>
    </cfRule>
    <cfRule type="expression" priority="574" aboveAverage="0" equalAverage="0" bottom="0" percent="0" rank="0" text="" dxfId="77">
      <formula>AND(ISNUMBER(G99),G99=0)</formula>
    </cfRule>
  </conditionalFormatting>
  <conditionalFormatting sqref="D99">
    <cfRule type="expression" priority="575" aboveAverage="0" equalAverage="0" bottom="0" percent="0" rank="0" text="" dxfId="73">
      <formula>$D99="Confirmé"</formula>
    </cfRule>
    <cfRule type="expression" priority="576" aboveAverage="0" equalAverage="0" bottom="0" percent="0" rank="0" text="" dxfId="74">
      <formula>$D99="Pressenti"</formula>
    </cfRule>
    <cfRule type="expression" priority="577" aboveAverage="0" equalAverage="0" bottom="0" percent="0" rank="0" text="" dxfId="0">
      <formula>$D99="Option"</formula>
    </cfRule>
  </conditionalFormatting>
  <conditionalFormatting sqref="G100">
    <cfRule type="expression" priority="578" aboveAverage="0" equalAverage="0" bottom="0" percent="0" rank="0" text="" dxfId="3">
      <formula>AND(ISNUMBER(G100),G100&gt;0)</formula>
    </cfRule>
    <cfRule type="expression" priority="579" aboveAverage="0" equalAverage="0" bottom="0" percent="0" rank="0" text="" dxfId="76">
      <formula>AND(ISNUMBER(G100),G100&lt;0)</formula>
    </cfRule>
    <cfRule type="expression" priority="580" aboveAverage="0" equalAverage="0" bottom="0" percent="0" rank="0" text="" dxfId="77">
      <formula>AND(ISNUMBER(G100),G100=0)</formula>
    </cfRule>
  </conditionalFormatting>
  <conditionalFormatting sqref="D100">
    <cfRule type="expression" priority="581" aboveAverage="0" equalAverage="0" bottom="0" percent="0" rank="0" text="" dxfId="73">
      <formula>$D100="Confirmé"</formula>
    </cfRule>
    <cfRule type="expression" priority="582" aboveAverage="0" equalAverage="0" bottom="0" percent="0" rank="0" text="" dxfId="74">
      <formula>$D100="Pressenti"</formula>
    </cfRule>
    <cfRule type="expression" priority="583" aboveAverage="0" equalAverage="0" bottom="0" percent="0" rank="0" text="" dxfId="0">
      <formula>$D100="Option"</formula>
    </cfRule>
  </conditionalFormatting>
  <conditionalFormatting sqref="G101">
    <cfRule type="expression" priority="584" aboveAverage="0" equalAverage="0" bottom="0" percent="0" rank="0" text="" dxfId="3">
      <formula>AND(ISNUMBER(G101),G101&gt;0)</formula>
    </cfRule>
    <cfRule type="expression" priority="585" aboveAverage="0" equalAverage="0" bottom="0" percent="0" rank="0" text="" dxfId="76">
      <formula>AND(ISNUMBER(G101),G101&lt;0)</formula>
    </cfRule>
    <cfRule type="expression" priority="586" aboveAverage="0" equalAverage="0" bottom="0" percent="0" rank="0" text="" dxfId="77">
      <formula>AND(ISNUMBER(G101),G101=0)</formula>
    </cfRule>
  </conditionalFormatting>
  <conditionalFormatting sqref="D101">
    <cfRule type="expression" priority="587" aboveAverage="0" equalAverage="0" bottom="0" percent="0" rank="0" text="" dxfId="73">
      <formula>$D101="Confirmé"</formula>
    </cfRule>
    <cfRule type="expression" priority="588" aboveAverage="0" equalAverage="0" bottom="0" percent="0" rank="0" text="" dxfId="74">
      <formula>$D101="Pressenti"</formula>
    </cfRule>
    <cfRule type="expression" priority="589" aboveAverage="0" equalAverage="0" bottom="0" percent="0" rank="0" text="" dxfId="0">
      <formula>$D101="Option"</formula>
    </cfRule>
  </conditionalFormatting>
  <conditionalFormatting sqref="G102">
    <cfRule type="expression" priority="590" aboveAverage="0" equalAverage="0" bottom="0" percent="0" rank="0" text="" dxfId="3">
      <formula>AND(ISNUMBER(G102),G102&gt;0)</formula>
    </cfRule>
    <cfRule type="expression" priority="591" aboveAverage="0" equalAverage="0" bottom="0" percent="0" rank="0" text="" dxfId="76">
      <formula>AND(ISNUMBER(G102),G102&lt;0)</formula>
    </cfRule>
    <cfRule type="expression" priority="592" aboveAverage="0" equalAverage="0" bottom="0" percent="0" rank="0" text="" dxfId="77">
      <formula>AND(ISNUMBER(G102),G102=0)</formula>
    </cfRule>
  </conditionalFormatting>
  <conditionalFormatting sqref="D102">
    <cfRule type="expression" priority="593" aboveAverage="0" equalAverage="0" bottom="0" percent="0" rank="0" text="" dxfId="73">
      <formula>$D102="Confirmé"</formula>
    </cfRule>
    <cfRule type="expression" priority="594" aboveAverage="0" equalAverage="0" bottom="0" percent="0" rank="0" text="" dxfId="74">
      <formula>$D102="Pressenti"</formula>
    </cfRule>
    <cfRule type="expression" priority="595" aboveAverage="0" equalAverage="0" bottom="0" percent="0" rank="0" text="" dxfId="0">
      <formula>$D102="Option"</formula>
    </cfRule>
  </conditionalFormatting>
  <conditionalFormatting sqref="G103">
    <cfRule type="expression" priority="596" aboveAverage="0" equalAverage="0" bottom="0" percent="0" rank="0" text="" dxfId="3">
      <formula>AND(ISNUMBER(G103),G103&gt;0)</formula>
    </cfRule>
    <cfRule type="expression" priority="597" aboveAverage="0" equalAverage="0" bottom="0" percent="0" rank="0" text="" dxfId="76">
      <formula>AND(ISNUMBER(G103),G103&lt;0)</formula>
    </cfRule>
    <cfRule type="expression" priority="598" aboveAverage="0" equalAverage="0" bottom="0" percent="0" rank="0" text="" dxfId="77">
      <formula>AND(ISNUMBER(G103),G103=0)</formula>
    </cfRule>
  </conditionalFormatting>
  <conditionalFormatting sqref="D103">
    <cfRule type="expression" priority="599" aboveAverage="0" equalAverage="0" bottom="0" percent="0" rank="0" text="" dxfId="73">
      <formula>$D103="Confirmé"</formula>
    </cfRule>
    <cfRule type="expression" priority="600" aboveAverage="0" equalAverage="0" bottom="0" percent="0" rank="0" text="" dxfId="74">
      <formula>$D103="Pressenti"</formula>
    </cfRule>
    <cfRule type="expression" priority="601" aboveAverage="0" equalAverage="0" bottom="0" percent="0" rank="0" text="" dxfId="0">
      <formula>$D103="Option"</formula>
    </cfRule>
  </conditionalFormatting>
  <dataValidations count="2">
    <dataValidation allowBlank="true" errorStyle="stop" operator="between" showDropDown="false" showErrorMessage="false" showInputMessage="false" sqref="A4:A103" type="list">
      <formula1>Gantt!$C$4:$C$33</formula1>
      <formula2>0</formula2>
    </dataValidation>
    <dataValidation allowBlank="true" errorStyle="stop" operator="between" showDropDown="false" showErrorMessage="false" showInputMessage="false" sqref="B4:B103" type="list">
      <formula1>Financement!$A$4:$A$18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V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7" min="6" style="0" width="10"/>
    <col collapsed="false" customWidth="true" hidden="false" outlineLevel="0" max="8" min="8" style="0" width="34"/>
    <col collapsed="false" customWidth="true" hidden="false" outlineLevel="0" max="10" min="10" style="0" width="18"/>
    <col collapsed="false" customWidth="true" hidden="false" outlineLevel="0" max="13" min="11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7" min="17" style="0" width="28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6"/>
  </cols>
  <sheetData>
    <row r="1" customFormat="false" ht="30" hidden="false" customHeight="true" outlineLevel="0" collapsed="false">
      <c r="A1" s="88" t="s">
        <v>87</v>
      </c>
      <c r="B1" s="88"/>
      <c r="C1" s="88"/>
      <c r="D1" s="88"/>
      <c r="E1" s="88"/>
      <c r="F1" s="88"/>
      <c r="G1" s="88"/>
      <c r="H1" s="88"/>
    </row>
    <row r="2" customFormat="false" ht="15" hidden="false" customHeight="false" outlineLevel="0" collapsed="false">
      <c r="A2" s="2" t="s">
        <v>88</v>
      </c>
    </row>
    <row r="3" customFormat="false" ht="24" hidden="false" customHeight="true" outlineLevel="0" collapsed="false">
      <c r="A3" s="5" t="s">
        <v>89</v>
      </c>
      <c r="B3" s="5" t="s">
        <v>46</v>
      </c>
      <c r="C3" s="5" t="s">
        <v>4</v>
      </c>
      <c r="D3" s="5" t="s">
        <v>3</v>
      </c>
      <c r="E3" s="5" t="s">
        <v>63</v>
      </c>
      <c r="F3" s="5" t="s">
        <v>13</v>
      </c>
      <c r="G3" s="5" t="s">
        <v>90</v>
      </c>
      <c r="H3" s="5" t="s">
        <v>37</v>
      </c>
      <c r="J3" s="78" t="s">
        <v>63</v>
      </c>
      <c r="K3" s="78" t="s">
        <v>66</v>
      </c>
      <c r="L3" s="78" t="s">
        <v>91</v>
      </c>
      <c r="M3" s="78" t="s">
        <v>92</v>
      </c>
      <c r="N3" s="78" t="s">
        <v>93</v>
      </c>
      <c r="O3" s="78" t="s">
        <v>69</v>
      </c>
      <c r="Q3" s="3" t="s">
        <v>4</v>
      </c>
      <c r="R3" s="3" t="s">
        <v>3</v>
      </c>
      <c r="S3" s="3" t="s">
        <v>94</v>
      </c>
      <c r="T3" s="3" t="s">
        <v>92</v>
      </c>
      <c r="U3" s="3" t="s">
        <v>68</v>
      </c>
      <c r="V3" s="3" t="s">
        <v>95</v>
      </c>
    </row>
    <row r="4" customFormat="false" ht="15" hidden="false" customHeight="false" outlineLevel="0" collapsed="false">
      <c r="A4" s="89" t="n">
        <v>46280</v>
      </c>
      <c r="B4" s="62" t="s">
        <v>17</v>
      </c>
      <c r="C4" s="62" t="s">
        <v>16</v>
      </c>
      <c r="D4" s="63" t="str">
        <f aca="false">IF($C4="","",IFERROR(INDEX(Gantt!$B$4:$B$33,MATCH($C4,Gantt!$C$4:$C$33,0)),""))</f>
        <v>Projet A</v>
      </c>
      <c r="E4" s="70" t="s">
        <v>40</v>
      </c>
      <c r="F4" s="70" t="n">
        <v>45</v>
      </c>
      <c r="G4" s="90" t="n">
        <f aca="false">IF($A4="","",DATE(YEAR($A4),MONTH($A4),1))</f>
        <v>46266</v>
      </c>
      <c r="H4" s="62" t="s">
        <v>96</v>
      </c>
      <c r="J4" s="91" t="str">
        <f aca="false">IF(Financement!$A4="","",Financement!$A4)</f>
        <v>Interne</v>
      </c>
      <c r="K4" s="63" t="n">
        <f aca="false">IF($J4="","",Financement!$D4)</f>
        <v>600</v>
      </c>
      <c r="L4" s="63" t="n">
        <f aca="false">IF($J4="","",Financement!$E4)</f>
        <v>320</v>
      </c>
      <c r="M4" s="63" t="n">
        <f aca="false">IF($J4="","",SUMIF($E$4:$E$303,$J4,$F$4:$F$303))</f>
        <v>83</v>
      </c>
      <c r="N4" s="63" t="n">
        <f aca="false">IF($J4="","",K4-M4)</f>
        <v>517</v>
      </c>
      <c r="O4" s="71" t="n">
        <f aca="false">IF(OR($J4="",N(K4)=0),"",M4/K4)</f>
        <v>0.138333333333333</v>
      </c>
      <c r="Q4" s="63" t="str">
        <f aca="false">IF(Gantt!$C4="","",Gantt!$C4)</f>
        <v>Conception d'actifs 3D</v>
      </c>
      <c r="R4" s="63" t="str">
        <f aca="false">IF($Q4="","",Gantt!$B4)</f>
        <v>Projet A</v>
      </c>
      <c r="S4" s="63" t="n">
        <f aca="false">IF($Q4="","",Gantt!$G4)</f>
        <v>120</v>
      </c>
      <c r="T4" s="63" t="n">
        <f aca="false">IF($Q4="","",SUMIF($C$4:$C$303,$Q4,$F$4:$F$303))</f>
        <v>83</v>
      </c>
      <c r="U4" s="63" t="n">
        <f aca="false">IF($Q4="","",S4-T4)</f>
        <v>37</v>
      </c>
      <c r="V4" s="71" t="n">
        <f aca="false">IF(OR($Q4="",N(S4)=0),"",T4/S4)</f>
        <v>0.691666666666667</v>
      </c>
    </row>
    <row r="5" customFormat="false" ht="15" hidden="false" customHeight="false" outlineLevel="0" collapsed="false">
      <c r="A5" s="89" t="n">
        <v>46294</v>
      </c>
      <c r="B5" s="62" t="s">
        <v>17</v>
      </c>
      <c r="C5" s="62" t="s">
        <v>16</v>
      </c>
      <c r="D5" s="92" t="str">
        <f aca="false">IF($C5="","",IFERROR(INDEX(Gantt!$B$4:$B$33,MATCH($C5,Gantt!$C$4:$C$33,0)),""))</f>
        <v>Projet A</v>
      </c>
      <c r="E5" s="70" t="s">
        <v>40</v>
      </c>
      <c r="F5" s="70" t="n">
        <v>38</v>
      </c>
      <c r="G5" s="93" t="n">
        <f aca="false">IF($A5="","",DATE(YEAR($A5),MONTH($A5),1))</f>
        <v>46266</v>
      </c>
      <c r="H5" s="62" t="s">
        <v>97</v>
      </c>
      <c r="J5" s="94" t="str">
        <f aca="false">IF(Financement!$A5="","",Financement!$A5)</f>
        <v>Client A</v>
      </c>
      <c r="K5" s="79" t="n">
        <f aca="false">IF($J5="","",Financement!$D5)</f>
        <v>900</v>
      </c>
      <c r="L5" s="79" t="n">
        <f aca="false">IF($J5="","",Financement!$E5)</f>
        <v>1020</v>
      </c>
      <c r="M5" s="79" t="n">
        <f aca="false">IF($J5="","",SUMIF($E$4:$E$303,$J5,$F$4:$F$303))</f>
        <v>60</v>
      </c>
      <c r="N5" s="79" t="n">
        <f aca="false">IF($J5="","",K5-M5)</f>
        <v>840</v>
      </c>
      <c r="O5" s="80" t="n">
        <f aca="false">IF(OR($J5="",N(K5)=0),"",M5/K5)</f>
        <v>0.0666666666666667</v>
      </c>
      <c r="Q5" s="95" t="str">
        <f aca="false">IF(Gantt!$C5="","",Gantt!$C5)</f>
        <v>Modélisation système</v>
      </c>
      <c r="R5" s="95" t="str">
        <f aca="false">IF($Q5="","",Gantt!$B5)</f>
        <v>Projet A</v>
      </c>
      <c r="S5" s="95" t="n">
        <f aca="false">IF($Q5="","",Gantt!$G5)</f>
        <v>200</v>
      </c>
      <c r="T5" s="95" t="n">
        <f aca="false">IF($Q5="","",SUMIF($C$4:$C$303,$Q5,$F$4:$F$303))</f>
        <v>0</v>
      </c>
      <c r="U5" s="96" t="n">
        <f aca="false">IF($Q5="","",S5-T5)</f>
        <v>200</v>
      </c>
      <c r="V5" s="97" t="n">
        <f aca="false">IF(OR($Q5="",N(S5)=0),"",T5/S5)</f>
        <v>0</v>
      </c>
    </row>
    <row r="6" customFormat="false" ht="15" hidden="false" customHeight="false" outlineLevel="0" collapsed="false">
      <c r="A6" s="89" t="n">
        <v>46308</v>
      </c>
      <c r="B6" s="62" t="s">
        <v>25</v>
      </c>
      <c r="C6" s="62" t="s">
        <v>24</v>
      </c>
      <c r="D6" s="63" t="str">
        <f aca="false">IF($C6="","",IFERROR(INDEX(Gantt!$B$4:$B$33,MATCH($C6,Gantt!$C$4:$C$33,0)),""))</f>
        <v>Projet B</v>
      </c>
      <c r="E6" s="70" t="s">
        <v>43</v>
      </c>
      <c r="F6" s="70" t="n">
        <v>60</v>
      </c>
      <c r="G6" s="90" t="n">
        <f aca="false">IF($A6="","",DATE(YEAR($A6),MONTH($A6),1))</f>
        <v>46296</v>
      </c>
      <c r="H6" s="62" t="s">
        <v>98</v>
      </c>
      <c r="J6" s="91" t="str">
        <f aca="false">IF(Financement!$A6="","",Financement!$A6)</f>
        <v>Subvention</v>
      </c>
      <c r="K6" s="63" t="n">
        <f aca="false">IF($J6="","",Financement!$D6)</f>
        <v>300</v>
      </c>
      <c r="L6" s="63" t="n">
        <f aca="false">IF($J6="","",Financement!$E6)</f>
        <v>180</v>
      </c>
      <c r="M6" s="63" t="n">
        <f aca="false">IF($J6="","",SUMIF($E$4:$E$303,$J6,$F$4:$F$303))</f>
        <v>0</v>
      </c>
      <c r="N6" s="63" t="n">
        <f aca="false">IF($J6="","",K6-M6)</f>
        <v>300</v>
      </c>
      <c r="O6" s="71" t="n">
        <f aca="false">IF(OR($J6="",N(K6)=0),"",M6/K6)</f>
        <v>0</v>
      </c>
      <c r="Q6" s="63" t="str">
        <f aca="false">IF(Gantt!$C6="","",Gantt!$C6)</f>
        <v>Intégration technique</v>
      </c>
      <c r="R6" s="63" t="str">
        <f aca="false">IF($Q6="","",Gantt!$B6)</f>
        <v>Projet B</v>
      </c>
      <c r="S6" s="63" t="n">
        <f aca="false">IF($Q6="","",Gantt!$G6)</f>
        <v>480</v>
      </c>
      <c r="T6" s="63" t="n">
        <f aca="false">IF($Q6="","",SUMIF($C$4:$C$303,$Q6,$F$4:$F$303))</f>
        <v>60</v>
      </c>
      <c r="U6" s="63" t="n">
        <f aca="false">IF($Q6="","",S6-T6)</f>
        <v>420</v>
      </c>
      <c r="V6" s="71" t="n">
        <f aca="false">IF(OR($Q6="",N(S6)=0),"",T6/S6)</f>
        <v>0.125</v>
      </c>
    </row>
    <row r="7" customFormat="false" ht="15" hidden="false" customHeight="false" outlineLevel="0" collapsed="false">
      <c r="A7" s="89"/>
      <c r="B7" s="62"/>
      <c r="C7" s="62"/>
      <c r="D7" s="92" t="str">
        <f aca="false">IF($C7="","",IFERROR(INDEX(Gantt!$B$4:$B$33,MATCH($C7,Gantt!$C$4:$C$33,0)),""))</f>
        <v/>
      </c>
      <c r="E7" s="70"/>
      <c r="F7" s="70"/>
      <c r="G7" s="93" t="str">
        <f aca="false">IF($A7="","",DATE(YEAR($A7),MONTH($A7),1))</f>
        <v/>
      </c>
      <c r="H7" s="62"/>
      <c r="J7" s="94" t="str">
        <f aca="false">IF(Financement!$A7="","",Financement!$A7)</f>
        <v>Client B</v>
      </c>
      <c r="K7" s="79" t="n">
        <f aca="false">IF($J7="","",Financement!$D7)</f>
        <v>400</v>
      </c>
      <c r="L7" s="79" t="n">
        <f aca="false">IF($J7="","",Financement!$E7)</f>
        <v>100</v>
      </c>
      <c r="M7" s="79" t="n">
        <f aca="false">IF($J7="","",SUMIF($E$4:$E$303,$J7,$F$4:$F$303))</f>
        <v>0</v>
      </c>
      <c r="N7" s="79" t="n">
        <f aca="false">IF($J7="","",K7-M7)</f>
        <v>400</v>
      </c>
      <c r="O7" s="80" t="n">
        <f aca="false">IF(OR($J7="",N(K7)=0),"",M7/K7)</f>
        <v>0</v>
      </c>
      <c r="Q7" s="95" t="str">
        <f aca="false">IF(Gantt!$C7="","",Gantt!$C7)</f>
        <v>Configuration scénarios</v>
      </c>
      <c r="R7" s="95" t="str">
        <f aca="false">IF($Q7="","",Gantt!$B7)</f>
        <v>Projet B</v>
      </c>
      <c r="S7" s="95" t="n">
        <f aca="false">IF($Q7="","",Gantt!$G7)</f>
        <v>500</v>
      </c>
      <c r="T7" s="95" t="n">
        <f aca="false">IF($Q7="","",SUMIF($C$4:$C$303,$Q7,$F$4:$F$303))</f>
        <v>0</v>
      </c>
      <c r="U7" s="96" t="n">
        <f aca="false">IF($Q7="","",S7-T7)</f>
        <v>500</v>
      </c>
      <c r="V7" s="97" t="n">
        <f aca="false">IF(OR($Q7="",N(S7)=0),"",T7/S7)</f>
        <v>0</v>
      </c>
    </row>
    <row r="8" customFormat="false" ht="15" hidden="false" customHeight="false" outlineLevel="0" collapsed="false">
      <c r="A8" s="89"/>
      <c r="B8" s="62"/>
      <c r="C8" s="62"/>
      <c r="D8" s="63" t="str">
        <f aca="false">IF($C8="","",IFERROR(INDEX(Gantt!$B$4:$B$33,MATCH($C8,Gantt!$C$4:$C$33,0)),""))</f>
        <v/>
      </c>
      <c r="E8" s="70"/>
      <c r="F8" s="70"/>
      <c r="G8" s="90" t="str">
        <f aca="false">IF($A8="","",DATE(YEAR($A8),MONTH($A8),1))</f>
        <v/>
      </c>
      <c r="H8" s="62"/>
      <c r="J8" s="91" t="str">
        <f aca="false">IF(Financement!$A8="","",Financement!$A8)</f>
        <v/>
      </c>
      <c r="K8" s="63" t="str">
        <f aca="false">IF($J8="","",Financement!$D8)</f>
        <v/>
      </c>
      <c r="L8" s="63" t="str">
        <f aca="false">IF($J8="","",Financement!$E8)</f>
        <v/>
      </c>
      <c r="M8" s="63" t="str">
        <f aca="false">IF($J8="","",SUMIF($E$4:$E$303,$J8,$F$4:$F$303))</f>
        <v/>
      </c>
      <c r="N8" s="63" t="str">
        <f aca="false">IF($J8="","",K8-M8)</f>
        <v/>
      </c>
      <c r="O8" s="71" t="str">
        <f aca="false">IF(OR($J8="",N(K8)=0),"",M8/K8)</f>
        <v/>
      </c>
      <c r="Q8" s="63" t="str">
        <f aca="false">IF(Gantt!$C8="","",Gantt!$C8)</f>
        <v>Préparation livraison</v>
      </c>
      <c r="R8" s="63" t="str">
        <f aca="false">IF($Q8="","",Gantt!$B8)</f>
        <v>Projet A</v>
      </c>
      <c r="S8" s="63" t="n">
        <f aca="false">IF($Q8="","",Gantt!$G8)</f>
        <v>320</v>
      </c>
      <c r="T8" s="63" t="n">
        <f aca="false">IF($Q8="","",SUMIF($C$4:$C$303,$Q8,$F$4:$F$303))</f>
        <v>0</v>
      </c>
      <c r="U8" s="63" t="n">
        <f aca="false">IF($Q8="","",S8-T8)</f>
        <v>320</v>
      </c>
      <c r="V8" s="71" t="n">
        <f aca="false">IF(OR($Q8="",N(S8)=0),"",T8/S8)</f>
        <v>0</v>
      </c>
    </row>
    <row r="9" customFormat="false" ht="15" hidden="false" customHeight="false" outlineLevel="0" collapsed="false">
      <c r="A9" s="89"/>
      <c r="B9" s="62"/>
      <c r="C9" s="62"/>
      <c r="D9" s="92" t="str">
        <f aca="false">IF($C9="","",IFERROR(INDEX(Gantt!$B$4:$B$33,MATCH($C9,Gantt!$C$4:$C$33,0)),""))</f>
        <v/>
      </c>
      <c r="E9" s="70"/>
      <c r="F9" s="70"/>
      <c r="G9" s="93" t="str">
        <f aca="false">IF($A9="","",DATE(YEAR($A9),MONTH($A9),1))</f>
        <v/>
      </c>
      <c r="H9" s="62"/>
      <c r="J9" s="94" t="str">
        <f aca="false">IF(Financement!$A9="","",Financement!$A9)</f>
        <v/>
      </c>
      <c r="K9" s="79" t="str">
        <f aca="false">IF($J9="","",Financement!$D9)</f>
        <v/>
      </c>
      <c r="L9" s="79" t="str">
        <f aca="false">IF($J9="","",Financement!$E9)</f>
        <v/>
      </c>
      <c r="M9" s="79" t="str">
        <f aca="false">IF($J9="","",SUMIF($E$4:$E$303,$J9,$F$4:$F$303))</f>
        <v/>
      </c>
      <c r="N9" s="79" t="str">
        <f aca="false">IF($J9="","",K9-M9)</f>
        <v/>
      </c>
      <c r="O9" s="80" t="str">
        <f aca="false">IF(OR($J9="",N(K9)=0),"",M9/K9)</f>
        <v/>
      </c>
      <c r="Q9" s="95" t="str">
        <f aca="false">IF(Gantt!$C9="","",Gantt!$C9)</f>
        <v/>
      </c>
      <c r="R9" s="95" t="str">
        <f aca="false">IF($Q9="","",Gantt!$B9)</f>
        <v/>
      </c>
      <c r="S9" s="95" t="str">
        <f aca="false">IF($Q9="","",Gantt!$G9)</f>
        <v/>
      </c>
      <c r="T9" s="95" t="str">
        <f aca="false">IF($Q9="","",SUMIF($C$4:$C$303,$Q9,$F$4:$F$303))</f>
        <v/>
      </c>
      <c r="U9" s="95" t="str">
        <f aca="false">IF($Q9="","",S9-T9)</f>
        <v/>
      </c>
      <c r="V9" s="97" t="str">
        <f aca="false">IF(OR($Q9="",N(S9)=0),"",T9/S9)</f>
        <v/>
      </c>
    </row>
    <row r="10" customFormat="false" ht="15" hidden="false" customHeight="false" outlineLevel="0" collapsed="false">
      <c r="A10" s="89"/>
      <c r="B10" s="62"/>
      <c r="C10" s="62"/>
      <c r="D10" s="63" t="str">
        <f aca="false">IF($C10="","",IFERROR(INDEX(Gantt!$B$4:$B$33,MATCH($C10,Gantt!$C$4:$C$33,0)),""))</f>
        <v/>
      </c>
      <c r="E10" s="70"/>
      <c r="F10" s="70"/>
      <c r="G10" s="90" t="str">
        <f aca="false">IF($A10="","",DATE(YEAR($A10),MONTH($A10),1))</f>
        <v/>
      </c>
      <c r="H10" s="62"/>
      <c r="J10" s="91" t="str">
        <f aca="false">IF(Financement!$A10="","",Financement!$A10)</f>
        <v/>
      </c>
      <c r="K10" s="63" t="str">
        <f aca="false">IF($J10="","",Financement!$D10)</f>
        <v/>
      </c>
      <c r="L10" s="63" t="str">
        <f aca="false">IF($J10="","",Financement!$E10)</f>
        <v/>
      </c>
      <c r="M10" s="63" t="str">
        <f aca="false">IF($J10="","",SUMIF($E$4:$E$303,$J10,$F$4:$F$303))</f>
        <v/>
      </c>
      <c r="N10" s="63" t="str">
        <f aca="false">IF($J10="","",K10-M10)</f>
        <v/>
      </c>
      <c r="O10" s="71" t="str">
        <f aca="false">IF(OR($J10="",N(K10)=0),"",M10/K10)</f>
        <v/>
      </c>
      <c r="Q10" s="63" t="str">
        <f aca="false">IF(Gantt!$C10="","",Gantt!$C10)</f>
        <v/>
      </c>
      <c r="R10" s="63" t="str">
        <f aca="false">IF($Q10="","",Gantt!$B10)</f>
        <v/>
      </c>
      <c r="S10" s="63" t="str">
        <f aca="false">IF($Q10="","",Gantt!$G10)</f>
        <v/>
      </c>
      <c r="T10" s="63" t="str">
        <f aca="false">IF($Q10="","",SUMIF($C$4:$C$303,$Q10,$F$4:$F$303))</f>
        <v/>
      </c>
      <c r="U10" s="56" t="str">
        <f aca="false">IF($Q10="","",S10-T10)</f>
        <v/>
      </c>
      <c r="V10" s="71" t="str">
        <f aca="false">IF(OR($Q10="",N(S10)=0),"",T10/S10)</f>
        <v/>
      </c>
    </row>
    <row r="11" customFormat="false" ht="15" hidden="false" customHeight="false" outlineLevel="0" collapsed="false">
      <c r="A11" s="89"/>
      <c r="B11" s="62"/>
      <c r="C11" s="62"/>
      <c r="D11" s="92" t="str">
        <f aca="false">IF($C11="","",IFERROR(INDEX(Gantt!$B$4:$B$33,MATCH($C11,Gantt!$C$4:$C$33,0)),""))</f>
        <v/>
      </c>
      <c r="E11" s="70"/>
      <c r="F11" s="70"/>
      <c r="G11" s="93" t="str">
        <f aca="false">IF($A11="","",DATE(YEAR($A11),MONTH($A11),1))</f>
        <v/>
      </c>
      <c r="H11" s="62"/>
      <c r="J11" s="94" t="str">
        <f aca="false">IF(Financement!$A11="","",Financement!$A11)</f>
        <v/>
      </c>
      <c r="K11" s="79" t="str">
        <f aca="false">IF($J11="","",Financement!$D11)</f>
        <v/>
      </c>
      <c r="L11" s="79" t="str">
        <f aca="false">IF($J11="","",Financement!$E11)</f>
        <v/>
      </c>
      <c r="M11" s="79" t="str">
        <f aca="false">IF($J11="","",SUMIF($E$4:$E$303,$J11,$F$4:$F$303))</f>
        <v/>
      </c>
      <c r="N11" s="81" t="str">
        <f aca="false">IF($J11="","",K11-M11)</f>
        <v/>
      </c>
      <c r="O11" s="80" t="str">
        <f aca="false">IF(OR($J11="",N(K11)=0),"",M11/K11)</f>
        <v/>
      </c>
      <c r="Q11" s="95" t="str">
        <f aca="false">IF(Gantt!$C11="","",Gantt!$C11)</f>
        <v/>
      </c>
      <c r="R11" s="95" t="str">
        <f aca="false">IF($Q11="","",Gantt!$B11)</f>
        <v/>
      </c>
      <c r="S11" s="95" t="str">
        <f aca="false">IF($Q11="","",Gantt!$G11)</f>
        <v/>
      </c>
      <c r="T11" s="95" t="str">
        <f aca="false">IF($Q11="","",SUMIF($C$4:$C$303,$Q11,$F$4:$F$303))</f>
        <v/>
      </c>
      <c r="U11" s="95" t="str">
        <f aca="false">IF($Q11="","",S11-T11)</f>
        <v/>
      </c>
      <c r="V11" s="97" t="str">
        <f aca="false">IF(OR($Q11="",N(S11)=0),"",T11/S11)</f>
        <v/>
      </c>
    </row>
    <row r="12" customFormat="false" ht="15" hidden="false" customHeight="false" outlineLevel="0" collapsed="false">
      <c r="A12" s="89"/>
      <c r="B12" s="62"/>
      <c r="C12" s="62"/>
      <c r="D12" s="63" t="str">
        <f aca="false">IF($C12="","",IFERROR(INDEX(Gantt!$B$4:$B$33,MATCH($C12,Gantt!$C$4:$C$33,0)),""))</f>
        <v/>
      </c>
      <c r="E12" s="70"/>
      <c r="F12" s="70"/>
      <c r="G12" s="90" t="str">
        <f aca="false">IF($A12="","",DATE(YEAR($A12),MONTH($A12),1))</f>
        <v/>
      </c>
      <c r="H12" s="62"/>
      <c r="J12" s="91" t="str">
        <f aca="false">IF(Financement!$A12="","",Financement!$A12)</f>
        <v/>
      </c>
      <c r="K12" s="63" t="str">
        <f aca="false">IF($J12="","",Financement!$D12)</f>
        <v/>
      </c>
      <c r="L12" s="63" t="str">
        <f aca="false">IF($J12="","",Financement!$E12)</f>
        <v/>
      </c>
      <c r="M12" s="63" t="str">
        <f aca="false">IF($J12="","",SUMIF($E$4:$E$303,$J12,$F$4:$F$303))</f>
        <v/>
      </c>
      <c r="N12" s="56" t="str">
        <f aca="false">IF($J12="","",K12-M12)</f>
        <v/>
      </c>
      <c r="O12" s="71" t="str">
        <f aca="false">IF(OR($J12="",N(K12)=0),"",M12/K12)</f>
        <v/>
      </c>
      <c r="Q12" s="63" t="str">
        <f aca="false">IF(Gantt!$C12="","",Gantt!$C12)</f>
        <v/>
      </c>
      <c r="R12" s="63" t="str">
        <f aca="false">IF($Q12="","",Gantt!$B12)</f>
        <v/>
      </c>
      <c r="S12" s="63" t="str">
        <f aca="false">IF($Q12="","",Gantt!$G12)</f>
        <v/>
      </c>
      <c r="T12" s="63" t="str">
        <f aca="false">IF($Q12="","",SUMIF($C$4:$C$303,$Q12,$F$4:$F$303))</f>
        <v/>
      </c>
      <c r="U12" s="56" t="str">
        <f aca="false">IF($Q12="","",S12-T12)</f>
        <v/>
      </c>
      <c r="V12" s="71" t="str">
        <f aca="false">IF(OR($Q12="",N(S12)=0),"",T12/S12)</f>
        <v/>
      </c>
    </row>
    <row r="13" customFormat="false" ht="15" hidden="false" customHeight="false" outlineLevel="0" collapsed="false">
      <c r="A13" s="89"/>
      <c r="B13" s="62"/>
      <c r="C13" s="62"/>
      <c r="D13" s="92" t="str">
        <f aca="false">IF($C13="","",IFERROR(INDEX(Gantt!$B$4:$B$33,MATCH($C13,Gantt!$C$4:$C$33,0)),""))</f>
        <v/>
      </c>
      <c r="E13" s="70"/>
      <c r="F13" s="70"/>
      <c r="G13" s="93" t="str">
        <f aca="false">IF($A13="","",DATE(YEAR($A13),MONTH($A13),1))</f>
        <v/>
      </c>
      <c r="H13" s="62"/>
      <c r="J13" s="94" t="str">
        <f aca="false">IF(Financement!$A13="","",Financement!$A13)</f>
        <v/>
      </c>
      <c r="K13" s="79" t="str">
        <f aca="false">IF($J13="","",Financement!$D13)</f>
        <v/>
      </c>
      <c r="L13" s="79" t="str">
        <f aca="false">IF($J13="","",Financement!$E13)</f>
        <v/>
      </c>
      <c r="M13" s="79" t="str">
        <f aca="false">IF($J13="","",SUMIF($E$4:$E$303,$J13,$F$4:$F$303))</f>
        <v/>
      </c>
      <c r="N13" s="81" t="str">
        <f aca="false">IF($J13="","",K13-M13)</f>
        <v/>
      </c>
      <c r="O13" s="80" t="str">
        <f aca="false">IF(OR($J13="",N(K13)=0),"",M13/K13)</f>
        <v/>
      </c>
      <c r="Q13" s="95" t="str">
        <f aca="false">IF(Gantt!$C13="","",Gantt!$C13)</f>
        <v/>
      </c>
      <c r="R13" s="95" t="str">
        <f aca="false">IF($Q13="","",Gantt!$B13)</f>
        <v/>
      </c>
      <c r="S13" s="95" t="str">
        <f aca="false">IF($Q13="","",Gantt!$G13)</f>
        <v/>
      </c>
      <c r="T13" s="95" t="str">
        <f aca="false">IF($Q13="","",SUMIF($C$4:$C$303,$Q13,$F$4:$F$303))</f>
        <v/>
      </c>
      <c r="U13" s="95" t="str">
        <f aca="false">IF($Q13="","",S13-T13)</f>
        <v/>
      </c>
      <c r="V13" s="97" t="str">
        <f aca="false">IF(OR($Q13="",N(S13)=0),"",T13/S13)</f>
        <v/>
      </c>
    </row>
    <row r="14" customFormat="false" ht="15" hidden="false" customHeight="false" outlineLevel="0" collapsed="false">
      <c r="A14" s="89"/>
      <c r="B14" s="62"/>
      <c r="C14" s="62"/>
      <c r="D14" s="63" t="str">
        <f aca="false">IF($C14="","",IFERROR(INDEX(Gantt!$B$4:$B$33,MATCH($C14,Gantt!$C$4:$C$33,0)),""))</f>
        <v/>
      </c>
      <c r="E14" s="70"/>
      <c r="F14" s="70"/>
      <c r="G14" s="90" t="str">
        <f aca="false">IF($A14="","",DATE(YEAR($A14),MONTH($A14),1))</f>
        <v/>
      </c>
      <c r="H14" s="62"/>
      <c r="J14" s="91" t="str">
        <f aca="false">IF(Financement!$A14="","",Financement!$A14)</f>
        <v/>
      </c>
      <c r="K14" s="63" t="str">
        <f aca="false">IF($J14="","",Financement!$D14)</f>
        <v/>
      </c>
      <c r="L14" s="63" t="str">
        <f aca="false">IF($J14="","",Financement!$E14)</f>
        <v/>
      </c>
      <c r="M14" s="63" t="str">
        <f aca="false">IF($J14="","",SUMIF($E$4:$E$303,$J14,$F$4:$F$303))</f>
        <v/>
      </c>
      <c r="N14" s="56" t="str">
        <f aca="false">IF($J14="","",K14-M14)</f>
        <v/>
      </c>
      <c r="O14" s="71" t="str">
        <f aca="false">IF(OR($J14="",N(K14)=0),"",M14/K14)</f>
        <v/>
      </c>
      <c r="Q14" s="63" t="str">
        <f aca="false">IF(Gantt!$C14="","",Gantt!$C14)</f>
        <v/>
      </c>
      <c r="R14" s="63" t="str">
        <f aca="false">IF($Q14="","",Gantt!$B14)</f>
        <v/>
      </c>
      <c r="S14" s="63" t="str">
        <f aca="false">IF($Q14="","",Gantt!$G14)</f>
        <v/>
      </c>
      <c r="T14" s="63" t="str">
        <f aca="false">IF($Q14="","",SUMIF($C$4:$C$303,$Q14,$F$4:$F$303))</f>
        <v/>
      </c>
      <c r="U14" s="56" t="str">
        <f aca="false">IF($Q14="","",S14-T14)</f>
        <v/>
      </c>
      <c r="V14" s="71" t="str">
        <f aca="false">IF(OR($Q14="",N(S14)=0),"",T14/S14)</f>
        <v/>
      </c>
    </row>
    <row r="15" customFormat="false" ht="15" hidden="false" customHeight="false" outlineLevel="0" collapsed="false">
      <c r="A15" s="89"/>
      <c r="B15" s="62"/>
      <c r="C15" s="62"/>
      <c r="D15" s="92" t="str">
        <f aca="false">IF($C15="","",IFERROR(INDEX(Gantt!$B$4:$B$33,MATCH($C15,Gantt!$C$4:$C$33,0)),""))</f>
        <v/>
      </c>
      <c r="E15" s="70"/>
      <c r="F15" s="70"/>
      <c r="G15" s="93" t="str">
        <f aca="false">IF($A15="","",DATE(YEAR($A15),MONTH($A15),1))</f>
        <v/>
      </c>
      <c r="H15" s="62"/>
      <c r="J15" s="94" t="str">
        <f aca="false">IF(Financement!$A15="","",Financement!$A15)</f>
        <v/>
      </c>
      <c r="K15" s="79" t="str">
        <f aca="false">IF($J15="","",Financement!$D15)</f>
        <v/>
      </c>
      <c r="L15" s="79" t="str">
        <f aca="false">IF($J15="","",Financement!$E15)</f>
        <v/>
      </c>
      <c r="M15" s="79" t="str">
        <f aca="false">IF($J15="","",SUMIF($E$4:$E$303,$J15,$F$4:$F$303))</f>
        <v/>
      </c>
      <c r="N15" s="81" t="str">
        <f aca="false">IF($J15="","",K15-M15)</f>
        <v/>
      </c>
      <c r="O15" s="80" t="str">
        <f aca="false">IF(OR($J15="",N(K15)=0),"",M15/K15)</f>
        <v/>
      </c>
      <c r="Q15" s="95" t="str">
        <f aca="false">IF(Gantt!$C15="","",Gantt!$C15)</f>
        <v/>
      </c>
      <c r="R15" s="95" t="str">
        <f aca="false">IF($Q15="","",Gantt!$B15)</f>
        <v/>
      </c>
      <c r="S15" s="95" t="str">
        <f aca="false">IF($Q15="","",Gantt!$G15)</f>
        <v/>
      </c>
      <c r="T15" s="95" t="str">
        <f aca="false">IF($Q15="","",SUMIF($C$4:$C$303,$Q15,$F$4:$F$303))</f>
        <v/>
      </c>
      <c r="U15" s="95" t="str">
        <f aca="false">IF($Q15="","",S15-T15)</f>
        <v/>
      </c>
      <c r="V15" s="97" t="str">
        <f aca="false">IF(OR($Q15="",N(S15)=0),"",T15/S15)</f>
        <v/>
      </c>
    </row>
    <row r="16" customFormat="false" ht="15" hidden="false" customHeight="false" outlineLevel="0" collapsed="false">
      <c r="A16" s="89"/>
      <c r="B16" s="62"/>
      <c r="C16" s="62"/>
      <c r="D16" s="63" t="str">
        <f aca="false">IF($C16="","",IFERROR(INDEX(Gantt!$B$4:$B$33,MATCH($C16,Gantt!$C$4:$C$33,0)),""))</f>
        <v/>
      </c>
      <c r="E16" s="70"/>
      <c r="F16" s="70"/>
      <c r="G16" s="90" t="str">
        <f aca="false">IF($A16="","",DATE(YEAR($A16),MONTH($A16),1))</f>
        <v/>
      </c>
      <c r="H16" s="62"/>
      <c r="J16" s="91" t="str">
        <f aca="false">IF(Financement!$A16="","",Financement!$A16)</f>
        <v/>
      </c>
      <c r="K16" s="63" t="str">
        <f aca="false">IF($J16="","",Financement!$D16)</f>
        <v/>
      </c>
      <c r="L16" s="63" t="str">
        <f aca="false">IF($J16="","",Financement!$E16)</f>
        <v/>
      </c>
      <c r="M16" s="63" t="str">
        <f aca="false">IF($J16="","",SUMIF($E$4:$E$303,$J16,$F$4:$F$303))</f>
        <v/>
      </c>
      <c r="N16" s="56" t="str">
        <f aca="false">IF($J16="","",K16-M16)</f>
        <v/>
      </c>
      <c r="O16" s="71" t="str">
        <f aca="false">IF(OR($J16="",N(K16)=0),"",M16/K16)</f>
        <v/>
      </c>
      <c r="Q16" s="63" t="str">
        <f aca="false">IF(Gantt!$C16="","",Gantt!$C16)</f>
        <v/>
      </c>
      <c r="R16" s="63" t="str">
        <f aca="false">IF($Q16="","",Gantt!$B16)</f>
        <v/>
      </c>
      <c r="S16" s="63" t="str">
        <f aca="false">IF($Q16="","",Gantt!$G16)</f>
        <v/>
      </c>
      <c r="T16" s="63" t="str">
        <f aca="false">IF($Q16="","",SUMIF($C$4:$C$303,$Q16,$F$4:$F$303))</f>
        <v/>
      </c>
      <c r="U16" s="56" t="str">
        <f aca="false">IF($Q16="","",S16-T16)</f>
        <v/>
      </c>
      <c r="V16" s="71" t="str">
        <f aca="false">IF(OR($Q16="",N(S16)=0),"",T16/S16)</f>
        <v/>
      </c>
    </row>
    <row r="17" customFormat="false" ht="15" hidden="false" customHeight="false" outlineLevel="0" collapsed="false">
      <c r="A17" s="89"/>
      <c r="B17" s="62"/>
      <c r="C17" s="62"/>
      <c r="D17" s="92" t="str">
        <f aca="false">IF($C17="","",IFERROR(INDEX(Gantt!$B$4:$B$33,MATCH($C17,Gantt!$C$4:$C$33,0)),""))</f>
        <v/>
      </c>
      <c r="E17" s="70"/>
      <c r="F17" s="70"/>
      <c r="G17" s="93" t="str">
        <f aca="false">IF($A17="","",DATE(YEAR($A17),MONTH($A17),1))</f>
        <v/>
      </c>
      <c r="H17" s="62"/>
      <c r="J17" s="94" t="str">
        <f aca="false">IF(Financement!$A17="","",Financement!$A17)</f>
        <v/>
      </c>
      <c r="K17" s="79" t="str">
        <f aca="false">IF($J17="","",Financement!$D17)</f>
        <v/>
      </c>
      <c r="L17" s="79" t="str">
        <f aca="false">IF($J17="","",Financement!$E17)</f>
        <v/>
      </c>
      <c r="M17" s="79" t="str">
        <f aca="false">IF($J17="","",SUMIF($E$4:$E$303,$J17,$F$4:$F$303))</f>
        <v/>
      </c>
      <c r="N17" s="81" t="str">
        <f aca="false">IF($J17="","",K17-M17)</f>
        <v/>
      </c>
      <c r="O17" s="80" t="str">
        <f aca="false">IF(OR($J17="",N(K17)=0),"",M17/K17)</f>
        <v/>
      </c>
      <c r="Q17" s="95" t="str">
        <f aca="false">IF(Gantt!$C17="","",Gantt!$C17)</f>
        <v/>
      </c>
      <c r="R17" s="95" t="str">
        <f aca="false">IF($Q17="","",Gantt!$B17)</f>
        <v/>
      </c>
      <c r="S17" s="95" t="str">
        <f aca="false">IF($Q17="","",Gantt!$G17)</f>
        <v/>
      </c>
      <c r="T17" s="95" t="str">
        <f aca="false">IF($Q17="","",SUMIF($C$4:$C$303,$Q17,$F$4:$F$303))</f>
        <v/>
      </c>
      <c r="U17" s="95" t="str">
        <f aca="false">IF($Q17="","",S17-T17)</f>
        <v/>
      </c>
      <c r="V17" s="97" t="str">
        <f aca="false">IF(OR($Q17="",N(S17)=0),"",T17/S17)</f>
        <v/>
      </c>
    </row>
    <row r="18" customFormat="false" ht="15" hidden="false" customHeight="false" outlineLevel="0" collapsed="false">
      <c r="A18" s="89"/>
      <c r="B18" s="62"/>
      <c r="C18" s="62"/>
      <c r="D18" s="63" t="str">
        <f aca="false">IF($C18="","",IFERROR(INDEX(Gantt!$B$4:$B$33,MATCH($C18,Gantt!$C$4:$C$33,0)),""))</f>
        <v/>
      </c>
      <c r="E18" s="70"/>
      <c r="F18" s="70"/>
      <c r="G18" s="90" t="str">
        <f aca="false">IF($A18="","",DATE(YEAR($A18),MONTH($A18),1))</f>
        <v/>
      </c>
      <c r="H18" s="62"/>
      <c r="J18" s="91" t="str">
        <f aca="false">IF(Financement!$A18="","",Financement!$A18)</f>
        <v/>
      </c>
      <c r="K18" s="63" t="str">
        <f aca="false">IF($J18="","",Financement!$D18)</f>
        <v/>
      </c>
      <c r="L18" s="63" t="str">
        <f aca="false">IF($J18="","",Financement!$E18)</f>
        <v/>
      </c>
      <c r="M18" s="63" t="str">
        <f aca="false">IF($J18="","",SUMIF($E$4:$E$303,$J18,$F$4:$F$303))</f>
        <v/>
      </c>
      <c r="N18" s="56" t="str">
        <f aca="false">IF($J18="","",K18-M18)</f>
        <v/>
      </c>
      <c r="O18" s="71" t="str">
        <f aca="false">IF(OR($J18="",N(K18)=0),"",M18/K18)</f>
        <v/>
      </c>
      <c r="Q18" s="63" t="str">
        <f aca="false">IF(Gantt!$C18="","",Gantt!$C18)</f>
        <v/>
      </c>
      <c r="R18" s="63" t="str">
        <f aca="false">IF($Q18="","",Gantt!$B18)</f>
        <v/>
      </c>
      <c r="S18" s="63" t="str">
        <f aca="false">IF($Q18="","",Gantt!$G18)</f>
        <v/>
      </c>
      <c r="T18" s="63" t="str">
        <f aca="false">IF($Q18="","",SUMIF($C$4:$C$303,$Q18,$F$4:$F$303))</f>
        <v/>
      </c>
      <c r="U18" s="56" t="str">
        <f aca="false">IF($Q18="","",S18-T18)</f>
        <v/>
      </c>
      <c r="V18" s="71" t="str">
        <f aca="false">IF(OR($Q18="",N(S18)=0),"",T18/S18)</f>
        <v/>
      </c>
    </row>
    <row r="19" customFormat="false" ht="15" hidden="false" customHeight="false" outlineLevel="0" collapsed="false">
      <c r="A19" s="89"/>
      <c r="B19" s="62"/>
      <c r="C19" s="62"/>
      <c r="D19" s="92" t="str">
        <f aca="false">IF($C19="","",IFERROR(INDEX(Gantt!$B$4:$B$33,MATCH($C19,Gantt!$C$4:$C$33,0)),""))</f>
        <v/>
      </c>
      <c r="E19" s="70"/>
      <c r="F19" s="70"/>
      <c r="G19" s="93" t="str">
        <f aca="false">IF($A19="","",DATE(YEAR($A19),MONTH($A19),1))</f>
        <v/>
      </c>
      <c r="H19" s="62"/>
      <c r="J19" s="83" t="s">
        <v>32</v>
      </c>
      <c r="K19" s="83" t="n">
        <f aca="false">SUM(K4:K18)</f>
        <v>2200</v>
      </c>
      <c r="L19" s="83" t="n">
        <f aca="false">SUM(L4:L18)</f>
        <v>1620</v>
      </c>
      <c r="M19" s="83" t="n">
        <f aca="false">SUM(M4:M18)</f>
        <v>143</v>
      </c>
      <c r="N19" s="83" t="n">
        <f aca="false">SUM(N4:N18)</f>
        <v>2057</v>
      </c>
      <c r="O19" s="83"/>
      <c r="Q19" s="95" t="str">
        <f aca="false">IF(Gantt!$C19="","",Gantt!$C19)</f>
        <v/>
      </c>
      <c r="R19" s="95" t="str">
        <f aca="false">IF($Q19="","",Gantt!$B19)</f>
        <v/>
      </c>
      <c r="S19" s="95" t="str">
        <f aca="false">IF($Q19="","",Gantt!$G19)</f>
        <v/>
      </c>
      <c r="T19" s="95" t="str">
        <f aca="false">IF($Q19="","",SUMIF($C$4:$C$303,$Q19,$F$4:$F$303))</f>
        <v/>
      </c>
      <c r="U19" s="95" t="str">
        <f aca="false">IF($Q19="","",S19-T19)</f>
        <v/>
      </c>
      <c r="V19" s="97" t="str">
        <f aca="false">IF(OR($Q19="",N(S19)=0),"",T19/S19)</f>
        <v/>
      </c>
    </row>
    <row r="20" customFormat="false" ht="15" hidden="false" customHeight="false" outlineLevel="0" collapsed="false">
      <c r="A20" s="89"/>
      <c r="B20" s="62"/>
      <c r="C20" s="62"/>
      <c r="D20" s="63" t="str">
        <f aca="false">IF($C20="","",IFERROR(INDEX(Gantt!$B$4:$B$33,MATCH($C20,Gantt!$C$4:$C$33,0)),""))</f>
        <v/>
      </c>
      <c r="E20" s="70"/>
      <c r="F20" s="70"/>
      <c r="G20" s="90" t="str">
        <f aca="false">IF($A20="","",DATE(YEAR($A20),MONTH($A20),1))</f>
        <v/>
      </c>
      <c r="H20" s="62"/>
      <c r="J20" s="76" t="s">
        <v>99</v>
      </c>
      <c r="K20" s="76"/>
      <c r="L20" s="76"/>
      <c r="M20" s="76" t="n">
        <f aca="false">SUMIF($E$4:$E$303,"",$F$4:$F$303)</f>
        <v>0</v>
      </c>
      <c r="N20" s="76"/>
      <c r="O20" s="76"/>
      <c r="Q20" s="63" t="str">
        <f aca="false">IF(Gantt!$C20="","",Gantt!$C20)</f>
        <v/>
      </c>
      <c r="R20" s="63" t="str">
        <f aca="false">IF($Q20="","",Gantt!$B20)</f>
        <v/>
      </c>
      <c r="S20" s="63" t="str">
        <f aca="false">IF($Q20="","",Gantt!$G20)</f>
        <v/>
      </c>
      <c r="T20" s="63" t="str">
        <f aca="false">IF($Q20="","",SUMIF($C$4:$C$303,$Q20,$F$4:$F$303))</f>
        <v/>
      </c>
      <c r="U20" s="56" t="str">
        <f aca="false">IF($Q20="","",S20-T20)</f>
        <v/>
      </c>
      <c r="V20" s="71" t="str">
        <f aca="false">IF(OR($Q20="",N(S20)=0),"",T20/S20)</f>
        <v/>
      </c>
    </row>
    <row r="21" customFormat="false" ht="15" hidden="false" customHeight="false" outlineLevel="0" collapsed="false">
      <c r="A21" s="89"/>
      <c r="B21" s="62"/>
      <c r="C21" s="62"/>
      <c r="D21" s="92" t="str">
        <f aca="false">IF($C21="","",IFERROR(INDEX(Gantt!$B$4:$B$33,MATCH($C21,Gantt!$C$4:$C$33,0)),""))</f>
        <v/>
      </c>
      <c r="E21" s="70"/>
      <c r="F21" s="70"/>
      <c r="G21" s="93" t="str">
        <f aca="false">IF($A21="","",DATE(YEAR($A21),MONTH($A21),1))</f>
        <v/>
      </c>
      <c r="H21" s="62"/>
      <c r="J21" s="98" t="s">
        <v>100</v>
      </c>
      <c r="Q21" s="95" t="str">
        <f aca="false">IF(Gantt!$C21="","",Gantt!$C21)</f>
        <v/>
      </c>
      <c r="R21" s="95" t="str">
        <f aca="false">IF($Q21="","",Gantt!$B21)</f>
        <v/>
      </c>
      <c r="S21" s="95" t="str">
        <f aca="false">IF($Q21="","",Gantt!$G21)</f>
        <v/>
      </c>
      <c r="T21" s="95" t="str">
        <f aca="false">IF($Q21="","",SUMIF($C$4:$C$303,$Q21,$F$4:$F$303))</f>
        <v/>
      </c>
      <c r="U21" s="95" t="str">
        <f aca="false">IF($Q21="","",S21-T21)</f>
        <v/>
      </c>
      <c r="V21" s="97" t="str">
        <f aca="false">IF(OR($Q21="",N(S21)=0),"",T21/S21)</f>
        <v/>
      </c>
    </row>
    <row r="22" customFormat="false" ht="24" hidden="false" customHeight="true" outlineLevel="0" collapsed="false">
      <c r="A22" s="89"/>
      <c r="B22" s="62"/>
      <c r="C22" s="62"/>
      <c r="D22" s="63" t="str">
        <f aca="false">IF($C22="","",IFERROR(INDEX(Gantt!$B$4:$B$33,MATCH($C22,Gantt!$C$4:$C$33,0)),""))</f>
        <v/>
      </c>
      <c r="E22" s="70"/>
      <c r="F22" s="70"/>
      <c r="G22" s="90" t="str">
        <f aca="false">IF($A22="","",DATE(YEAR($A22),MONTH($A22),1))</f>
        <v/>
      </c>
      <c r="H22" s="62"/>
      <c r="J22" s="59" t="s">
        <v>46</v>
      </c>
      <c r="K22" s="59" t="s">
        <v>91</v>
      </c>
      <c r="L22" s="59" t="s">
        <v>92</v>
      </c>
      <c r="M22" s="59" t="s">
        <v>68</v>
      </c>
      <c r="Q22" s="63" t="str">
        <f aca="false">IF(Gantt!$C22="","",Gantt!$C22)</f>
        <v/>
      </c>
      <c r="R22" s="63" t="str">
        <f aca="false">IF($Q22="","",Gantt!$B22)</f>
        <v/>
      </c>
      <c r="S22" s="63" t="str">
        <f aca="false">IF($Q22="","",Gantt!$G22)</f>
        <v/>
      </c>
      <c r="T22" s="63" t="str">
        <f aca="false">IF($Q22="","",SUMIF($C$4:$C$303,$Q22,$F$4:$F$303))</f>
        <v/>
      </c>
      <c r="U22" s="56" t="str">
        <f aca="false">IF($Q22="","",S22-T22)</f>
        <v/>
      </c>
      <c r="V22" s="71" t="str">
        <f aca="false">IF(OR($Q22="",N(S22)=0),"",T22/S22)</f>
        <v/>
      </c>
    </row>
    <row r="23" customFormat="false" ht="15" hidden="false" customHeight="false" outlineLevel="0" collapsed="false">
      <c r="A23" s="89"/>
      <c r="B23" s="62"/>
      <c r="C23" s="62"/>
      <c r="D23" s="92" t="str">
        <f aca="false">IF($C23="","",IFERROR(INDEX(Gantt!$B$4:$B$33,MATCH($C23,Gantt!$C$4:$C$33,0)),""))</f>
        <v/>
      </c>
      <c r="E23" s="70"/>
      <c r="F23" s="70"/>
      <c r="G23" s="93" t="str">
        <f aca="false">IF($A23="","",DATE(YEAR($A23),MONTH($A23),1))</f>
        <v/>
      </c>
      <c r="H23" s="62"/>
      <c r="J23" s="63" t="str">
        <f aca="false">IF(Équipe!$A4="","",Équipe!$A4)</f>
        <v>Personne A</v>
      </c>
      <c r="K23" s="63" t="n">
        <f aca="false">IF($J23="","",Équipe!$C4)</f>
        <v>640</v>
      </c>
      <c r="L23" s="63" t="n">
        <f aca="false">IF($J23="","",SUMIF($B$4:$B$303,$J23,$F$4:$F$303))</f>
        <v>83</v>
      </c>
      <c r="M23" s="63" t="n">
        <f aca="false">IF($J23="","",K23-L23)</f>
        <v>557</v>
      </c>
      <c r="Q23" s="95" t="str">
        <f aca="false">IF(Gantt!$C23="","",Gantt!$C23)</f>
        <v/>
      </c>
      <c r="R23" s="95" t="str">
        <f aca="false">IF($Q23="","",Gantt!$B23)</f>
        <v/>
      </c>
      <c r="S23" s="95" t="str">
        <f aca="false">IF($Q23="","",Gantt!$G23)</f>
        <v/>
      </c>
      <c r="T23" s="95" t="str">
        <f aca="false">IF($Q23="","",SUMIF($C$4:$C$303,$Q23,$F$4:$F$303))</f>
        <v/>
      </c>
      <c r="U23" s="95" t="str">
        <f aca="false">IF($Q23="","",S23-T23)</f>
        <v/>
      </c>
      <c r="V23" s="97" t="str">
        <f aca="false">IF(OR($Q23="",N(S23)=0),"",T23/S23)</f>
        <v/>
      </c>
    </row>
    <row r="24" customFormat="false" ht="15" hidden="false" customHeight="false" outlineLevel="0" collapsed="false">
      <c r="A24" s="89"/>
      <c r="B24" s="62"/>
      <c r="C24" s="62"/>
      <c r="D24" s="63" t="str">
        <f aca="false">IF($C24="","",IFERROR(INDEX(Gantt!$B$4:$B$33,MATCH($C24,Gantt!$C$4:$C$33,0)),""))</f>
        <v/>
      </c>
      <c r="E24" s="70"/>
      <c r="F24" s="70"/>
      <c r="G24" s="90" t="str">
        <f aca="false">IF($A24="","",DATE(YEAR($A24),MONTH($A24),1))</f>
        <v/>
      </c>
      <c r="H24" s="62"/>
      <c r="J24" s="99" t="str">
        <f aca="false">IF(Équipe!$A5="","",Équipe!$A5)</f>
        <v>Personne B</v>
      </c>
      <c r="K24" s="99" t="n">
        <f aca="false">IF($J24="","",Équipe!$C5)</f>
        <v>980</v>
      </c>
      <c r="L24" s="99" t="n">
        <f aca="false">IF($J24="","",SUMIF($B$4:$B$303,$J24,$F$4:$F$303))</f>
        <v>60</v>
      </c>
      <c r="M24" s="64" t="n">
        <f aca="false">IF($J24="","",K24-L24)</f>
        <v>920</v>
      </c>
      <c r="Q24" s="63" t="str">
        <f aca="false">IF(Gantt!$C24="","",Gantt!$C24)</f>
        <v/>
      </c>
      <c r="R24" s="63" t="str">
        <f aca="false">IF($Q24="","",Gantt!$B24)</f>
        <v/>
      </c>
      <c r="S24" s="63" t="str">
        <f aca="false">IF($Q24="","",Gantt!$G24)</f>
        <v/>
      </c>
      <c r="T24" s="63" t="str">
        <f aca="false">IF($Q24="","",SUMIF($C$4:$C$303,$Q24,$F$4:$F$303))</f>
        <v/>
      </c>
      <c r="U24" s="56" t="str">
        <f aca="false">IF($Q24="","",S24-T24)</f>
        <v/>
      </c>
      <c r="V24" s="71" t="str">
        <f aca="false">IF(OR($Q24="",N(S24)=0),"",T24/S24)</f>
        <v/>
      </c>
    </row>
    <row r="25" customFormat="false" ht="15" hidden="false" customHeight="false" outlineLevel="0" collapsed="false">
      <c r="A25" s="89"/>
      <c r="B25" s="62"/>
      <c r="C25" s="62"/>
      <c r="D25" s="92" t="str">
        <f aca="false">IF($C25="","",IFERROR(INDEX(Gantt!$B$4:$B$33,MATCH($C25,Gantt!$C$4:$C$33,0)),""))</f>
        <v/>
      </c>
      <c r="E25" s="70"/>
      <c r="F25" s="70"/>
      <c r="G25" s="93" t="str">
        <f aca="false">IF($A25="","",DATE(YEAR($A25),MONTH($A25),1))</f>
        <v/>
      </c>
      <c r="H25" s="62"/>
      <c r="J25" s="63" t="str">
        <f aca="false">IF(Équipe!$A6="","",Équipe!$A6)</f>
        <v/>
      </c>
      <c r="K25" s="63" t="str">
        <f aca="false">IF($J25="","",Équipe!$C6)</f>
        <v/>
      </c>
      <c r="L25" s="63" t="str">
        <f aca="false">IF($J25="","",SUMIF($B$4:$B$303,$J25,$F$4:$F$303))</f>
        <v/>
      </c>
      <c r="M25" s="56" t="str">
        <f aca="false">IF($J25="","",K25-L25)</f>
        <v/>
      </c>
      <c r="Q25" s="95" t="str">
        <f aca="false">IF(Gantt!$C25="","",Gantt!$C25)</f>
        <v/>
      </c>
      <c r="R25" s="95" t="str">
        <f aca="false">IF($Q25="","",Gantt!$B25)</f>
        <v/>
      </c>
      <c r="S25" s="95" t="str">
        <f aca="false">IF($Q25="","",Gantt!$G25)</f>
        <v/>
      </c>
      <c r="T25" s="95" t="str">
        <f aca="false">IF($Q25="","",SUMIF($C$4:$C$303,$Q25,$F$4:$F$303))</f>
        <v/>
      </c>
      <c r="U25" s="95" t="str">
        <f aca="false">IF($Q25="","",S25-T25)</f>
        <v/>
      </c>
      <c r="V25" s="97" t="str">
        <f aca="false">IF(OR($Q25="",N(S25)=0),"",T25/S25)</f>
        <v/>
      </c>
    </row>
    <row r="26" customFormat="false" ht="15" hidden="false" customHeight="false" outlineLevel="0" collapsed="false">
      <c r="A26" s="89"/>
      <c r="B26" s="62"/>
      <c r="C26" s="62"/>
      <c r="D26" s="63" t="str">
        <f aca="false">IF($C26="","",IFERROR(INDEX(Gantt!$B$4:$B$33,MATCH($C26,Gantt!$C$4:$C$33,0)),""))</f>
        <v/>
      </c>
      <c r="E26" s="70"/>
      <c r="F26" s="70"/>
      <c r="G26" s="90" t="str">
        <f aca="false">IF($A26="","",DATE(YEAR($A26),MONTH($A26),1))</f>
        <v/>
      </c>
      <c r="H26" s="62"/>
      <c r="J26" s="99" t="str">
        <f aca="false">IF(Équipe!$A7="","",Équipe!$A7)</f>
        <v/>
      </c>
      <c r="K26" s="99" t="str">
        <f aca="false">IF($J26="","",Équipe!$C7)</f>
        <v/>
      </c>
      <c r="L26" s="99" t="str">
        <f aca="false">IF($J26="","",SUMIF($B$4:$B$303,$J26,$F$4:$F$303))</f>
        <v/>
      </c>
      <c r="M26" s="99" t="str">
        <f aca="false">IF($J26="","",K26-L26)</f>
        <v/>
      </c>
      <c r="Q26" s="63" t="str">
        <f aca="false">IF(Gantt!$C26="","",Gantt!$C26)</f>
        <v/>
      </c>
      <c r="R26" s="63" t="str">
        <f aca="false">IF($Q26="","",Gantt!$B26)</f>
        <v/>
      </c>
      <c r="S26" s="63" t="str">
        <f aca="false">IF($Q26="","",Gantt!$G26)</f>
        <v/>
      </c>
      <c r="T26" s="63" t="str">
        <f aca="false">IF($Q26="","",SUMIF($C$4:$C$303,$Q26,$F$4:$F$303))</f>
        <v/>
      </c>
      <c r="U26" s="56" t="str">
        <f aca="false">IF($Q26="","",S26-T26)</f>
        <v/>
      </c>
      <c r="V26" s="71" t="str">
        <f aca="false">IF(OR($Q26="",N(S26)=0),"",T26/S26)</f>
        <v/>
      </c>
    </row>
    <row r="27" customFormat="false" ht="15" hidden="false" customHeight="false" outlineLevel="0" collapsed="false">
      <c r="A27" s="89"/>
      <c r="B27" s="62"/>
      <c r="C27" s="62"/>
      <c r="D27" s="92" t="str">
        <f aca="false">IF($C27="","",IFERROR(INDEX(Gantt!$B$4:$B$33,MATCH($C27,Gantt!$C$4:$C$33,0)),""))</f>
        <v/>
      </c>
      <c r="E27" s="70"/>
      <c r="F27" s="70"/>
      <c r="G27" s="93" t="str">
        <f aca="false">IF($A27="","",DATE(YEAR($A27),MONTH($A27),1))</f>
        <v/>
      </c>
      <c r="H27" s="62"/>
      <c r="J27" s="63" t="str">
        <f aca="false">IF(Équipe!$A8="","",Équipe!$A8)</f>
        <v/>
      </c>
      <c r="K27" s="63" t="str">
        <f aca="false">IF($J27="","",Équipe!$C8)</f>
        <v/>
      </c>
      <c r="L27" s="63" t="str">
        <f aca="false">IF($J27="","",SUMIF($B$4:$B$303,$J27,$F$4:$F$303))</f>
        <v/>
      </c>
      <c r="M27" s="56" t="str">
        <f aca="false">IF($J27="","",K27-L27)</f>
        <v/>
      </c>
      <c r="Q27" s="95" t="str">
        <f aca="false">IF(Gantt!$C27="","",Gantt!$C27)</f>
        <v/>
      </c>
      <c r="R27" s="95" t="str">
        <f aca="false">IF($Q27="","",Gantt!$B27)</f>
        <v/>
      </c>
      <c r="S27" s="95" t="str">
        <f aca="false">IF($Q27="","",Gantt!$G27)</f>
        <v/>
      </c>
      <c r="T27" s="95" t="str">
        <f aca="false">IF($Q27="","",SUMIF($C$4:$C$303,$Q27,$F$4:$F$303))</f>
        <v/>
      </c>
      <c r="U27" s="95" t="str">
        <f aca="false">IF($Q27="","",S27-T27)</f>
        <v/>
      </c>
      <c r="V27" s="97" t="str">
        <f aca="false">IF(OR($Q27="",N(S27)=0),"",T27/S27)</f>
        <v/>
      </c>
    </row>
    <row r="28" customFormat="false" ht="15" hidden="false" customHeight="false" outlineLevel="0" collapsed="false">
      <c r="A28" s="89"/>
      <c r="B28" s="62"/>
      <c r="C28" s="62"/>
      <c r="D28" s="63" t="str">
        <f aca="false">IF($C28="","",IFERROR(INDEX(Gantt!$B$4:$B$33,MATCH($C28,Gantt!$C$4:$C$33,0)),""))</f>
        <v/>
      </c>
      <c r="E28" s="70"/>
      <c r="F28" s="70"/>
      <c r="G28" s="90" t="str">
        <f aca="false">IF($A28="","",DATE(YEAR($A28),MONTH($A28),1))</f>
        <v/>
      </c>
      <c r="H28" s="62"/>
      <c r="J28" s="99" t="str">
        <f aca="false">IF(Équipe!$A9="","",Équipe!$A9)</f>
        <v/>
      </c>
      <c r="K28" s="99" t="str">
        <f aca="false">IF($J28="","",Équipe!$C9)</f>
        <v/>
      </c>
      <c r="L28" s="99" t="str">
        <f aca="false">IF($J28="","",SUMIF($B$4:$B$303,$J28,$F$4:$F$303))</f>
        <v/>
      </c>
      <c r="M28" s="99" t="str">
        <f aca="false">IF($J28="","",K28-L28)</f>
        <v/>
      </c>
      <c r="Q28" s="63" t="str">
        <f aca="false">IF(Gantt!$C28="","",Gantt!$C28)</f>
        <v/>
      </c>
      <c r="R28" s="63" t="str">
        <f aca="false">IF($Q28="","",Gantt!$B28)</f>
        <v/>
      </c>
      <c r="S28" s="63" t="str">
        <f aca="false">IF($Q28="","",Gantt!$G28)</f>
        <v/>
      </c>
      <c r="T28" s="63" t="str">
        <f aca="false">IF($Q28="","",SUMIF($C$4:$C$303,$Q28,$F$4:$F$303))</f>
        <v/>
      </c>
      <c r="U28" s="56" t="str">
        <f aca="false">IF($Q28="","",S28-T28)</f>
        <v/>
      </c>
      <c r="V28" s="71" t="str">
        <f aca="false">IF(OR($Q28="",N(S28)=0),"",T28/S28)</f>
        <v/>
      </c>
    </row>
    <row r="29" customFormat="false" ht="15" hidden="false" customHeight="false" outlineLevel="0" collapsed="false">
      <c r="A29" s="89"/>
      <c r="B29" s="62"/>
      <c r="C29" s="62"/>
      <c r="D29" s="92" t="str">
        <f aca="false">IF($C29="","",IFERROR(INDEX(Gantt!$B$4:$B$33,MATCH($C29,Gantt!$C$4:$C$33,0)),""))</f>
        <v/>
      </c>
      <c r="E29" s="70"/>
      <c r="F29" s="70"/>
      <c r="G29" s="93" t="str">
        <f aca="false">IF($A29="","",DATE(YEAR($A29),MONTH($A29),1))</f>
        <v/>
      </c>
      <c r="H29" s="62"/>
      <c r="J29" s="63" t="str">
        <f aca="false">IF(Équipe!$A10="","",Équipe!$A10)</f>
        <v/>
      </c>
      <c r="K29" s="63" t="str">
        <f aca="false">IF($J29="","",Équipe!$C10)</f>
        <v/>
      </c>
      <c r="L29" s="63" t="str">
        <f aca="false">IF($J29="","",SUMIF($B$4:$B$303,$J29,$F$4:$F$303))</f>
        <v/>
      </c>
      <c r="M29" s="56" t="str">
        <f aca="false">IF($J29="","",K29-L29)</f>
        <v/>
      </c>
      <c r="Q29" s="95" t="str">
        <f aca="false">IF(Gantt!$C29="","",Gantt!$C29)</f>
        <v/>
      </c>
      <c r="R29" s="95" t="str">
        <f aca="false">IF($Q29="","",Gantt!$B29)</f>
        <v/>
      </c>
      <c r="S29" s="95" t="str">
        <f aca="false">IF($Q29="","",Gantt!$G29)</f>
        <v/>
      </c>
      <c r="T29" s="95" t="str">
        <f aca="false">IF($Q29="","",SUMIF($C$4:$C$303,$Q29,$F$4:$F$303))</f>
        <v/>
      </c>
      <c r="U29" s="95" t="str">
        <f aca="false">IF($Q29="","",S29-T29)</f>
        <v/>
      </c>
      <c r="V29" s="97" t="str">
        <f aca="false">IF(OR($Q29="",N(S29)=0),"",T29/S29)</f>
        <v/>
      </c>
    </row>
    <row r="30" customFormat="false" ht="15" hidden="false" customHeight="false" outlineLevel="0" collapsed="false">
      <c r="A30" s="89"/>
      <c r="B30" s="62"/>
      <c r="C30" s="62"/>
      <c r="D30" s="63" t="str">
        <f aca="false">IF($C30="","",IFERROR(INDEX(Gantt!$B$4:$B$33,MATCH($C30,Gantt!$C$4:$C$33,0)),""))</f>
        <v/>
      </c>
      <c r="E30" s="70"/>
      <c r="F30" s="70"/>
      <c r="G30" s="90" t="str">
        <f aca="false">IF($A30="","",DATE(YEAR($A30),MONTH($A30),1))</f>
        <v/>
      </c>
      <c r="H30" s="62"/>
      <c r="J30" s="99" t="str">
        <f aca="false">IF(Équipe!$A11="","",Équipe!$A11)</f>
        <v/>
      </c>
      <c r="K30" s="99" t="str">
        <f aca="false">IF($J30="","",Équipe!$C11)</f>
        <v/>
      </c>
      <c r="L30" s="99" t="str">
        <f aca="false">IF($J30="","",SUMIF($B$4:$B$303,$J30,$F$4:$F$303))</f>
        <v/>
      </c>
      <c r="M30" s="99" t="str">
        <f aca="false">IF($J30="","",K30-L30)</f>
        <v/>
      </c>
      <c r="Q30" s="63" t="str">
        <f aca="false">IF(Gantt!$C30="","",Gantt!$C30)</f>
        <v/>
      </c>
      <c r="R30" s="63" t="str">
        <f aca="false">IF($Q30="","",Gantt!$B30)</f>
        <v/>
      </c>
      <c r="S30" s="63" t="str">
        <f aca="false">IF($Q30="","",Gantt!$G30)</f>
        <v/>
      </c>
      <c r="T30" s="63" t="str">
        <f aca="false">IF($Q30="","",SUMIF($C$4:$C$303,$Q30,$F$4:$F$303))</f>
        <v/>
      </c>
      <c r="U30" s="56" t="str">
        <f aca="false">IF($Q30="","",S30-T30)</f>
        <v/>
      </c>
      <c r="V30" s="71" t="str">
        <f aca="false">IF(OR($Q30="",N(S30)=0),"",T30/S30)</f>
        <v/>
      </c>
    </row>
    <row r="31" customFormat="false" ht="15" hidden="false" customHeight="false" outlineLevel="0" collapsed="false">
      <c r="A31" s="89"/>
      <c r="B31" s="62"/>
      <c r="C31" s="62"/>
      <c r="D31" s="92" t="str">
        <f aca="false">IF($C31="","",IFERROR(INDEX(Gantt!$B$4:$B$33,MATCH($C31,Gantt!$C$4:$C$33,0)),""))</f>
        <v/>
      </c>
      <c r="E31" s="70"/>
      <c r="F31" s="70"/>
      <c r="G31" s="93" t="str">
        <f aca="false">IF($A31="","",DATE(YEAR($A31),MONTH($A31),1))</f>
        <v/>
      </c>
      <c r="H31" s="62"/>
      <c r="J31" s="63" t="str">
        <f aca="false">IF(Équipe!$A12="","",Équipe!$A12)</f>
        <v/>
      </c>
      <c r="K31" s="63" t="str">
        <f aca="false">IF($J31="","",Équipe!$C12)</f>
        <v/>
      </c>
      <c r="L31" s="63" t="str">
        <f aca="false">IF($J31="","",SUMIF($B$4:$B$303,$J31,$F$4:$F$303))</f>
        <v/>
      </c>
      <c r="M31" s="56" t="str">
        <f aca="false">IF($J31="","",K31-L31)</f>
        <v/>
      </c>
      <c r="Q31" s="95" t="str">
        <f aca="false">IF(Gantt!$C31="","",Gantt!$C31)</f>
        <v/>
      </c>
      <c r="R31" s="95" t="str">
        <f aca="false">IF($Q31="","",Gantt!$B31)</f>
        <v/>
      </c>
      <c r="S31" s="95" t="str">
        <f aca="false">IF($Q31="","",Gantt!$G31)</f>
        <v/>
      </c>
      <c r="T31" s="95" t="str">
        <f aca="false">IF($Q31="","",SUMIF($C$4:$C$303,$Q31,$F$4:$F$303))</f>
        <v/>
      </c>
      <c r="U31" s="95" t="str">
        <f aca="false">IF($Q31="","",S31-T31)</f>
        <v/>
      </c>
      <c r="V31" s="97" t="str">
        <f aca="false">IF(OR($Q31="",N(S31)=0),"",T31/S31)</f>
        <v/>
      </c>
    </row>
    <row r="32" customFormat="false" ht="15" hidden="false" customHeight="false" outlineLevel="0" collapsed="false">
      <c r="A32" s="89"/>
      <c r="B32" s="62"/>
      <c r="C32" s="62"/>
      <c r="D32" s="63" t="str">
        <f aca="false">IF($C32="","",IFERROR(INDEX(Gantt!$B$4:$B$33,MATCH($C32,Gantt!$C$4:$C$33,0)),""))</f>
        <v/>
      </c>
      <c r="E32" s="70"/>
      <c r="F32" s="70"/>
      <c r="G32" s="90" t="str">
        <f aca="false">IF($A32="","",DATE(YEAR($A32),MONTH($A32),1))</f>
        <v/>
      </c>
      <c r="H32" s="62"/>
      <c r="J32" s="99" t="str">
        <f aca="false">IF(Équipe!$A13="","",Équipe!$A13)</f>
        <v/>
      </c>
      <c r="K32" s="99" t="str">
        <f aca="false">IF($J32="","",Équipe!$C13)</f>
        <v/>
      </c>
      <c r="L32" s="99" t="str">
        <f aca="false">IF($J32="","",SUMIF($B$4:$B$303,$J32,$F$4:$F$303))</f>
        <v/>
      </c>
      <c r="M32" s="99" t="str">
        <f aca="false">IF($J32="","",K32-L32)</f>
        <v/>
      </c>
      <c r="Q32" s="63" t="str">
        <f aca="false">IF(Gantt!$C32="","",Gantt!$C32)</f>
        <v/>
      </c>
      <c r="R32" s="63" t="str">
        <f aca="false">IF($Q32="","",Gantt!$B32)</f>
        <v/>
      </c>
      <c r="S32" s="63" t="str">
        <f aca="false">IF($Q32="","",Gantt!$G32)</f>
        <v/>
      </c>
      <c r="T32" s="63" t="str">
        <f aca="false">IF($Q32="","",SUMIF($C$4:$C$303,$Q32,$F$4:$F$303))</f>
        <v/>
      </c>
      <c r="U32" s="56" t="str">
        <f aca="false">IF($Q32="","",S32-T32)</f>
        <v/>
      </c>
      <c r="V32" s="71" t="str">
        <f aca="false">IF(OR($Q32="",N(S32)=0),"",T32/S32)</f>
        <v/>
      </c>
    </row>
    <row r="33" customFormat="false" ht="15" hidden="false" customHeight="false" outlineLevel="0" collapsed="false">
      <c r="A33" s="89"/>
      <c r="B33" s="62"/>
      <c r="C33" s="62"/>
      <c r="D33" s="92" t="str">
        <f aca="false">IF($C33="","",IFERROR(INDEX(Gantt!$B$4:$B$33,MATCH($C33,Gantt!$C$4:$C$33,0)),""))</f>
        <v/>
      </c>
      <c r="E33" s="70"/>
      <c r="F33" s="70"/>
      <c r="G33" s="93" t="str">
        <f aca="false">IF($A33="","",DATE(YEAR($A33),MONTH($A33),1))</f>
        <v/>
      </c>
      <c r="H33" s="62"/>
      <c r="J33" s="63" t="str">
        <f aca="false">IF(Équipe!$A14="","",Équipe!$A14)</f>
        <v/>
      </c>
      <c r="K33" s="63" t="str">
        <f aca="false">IF($J33="","",Équipe!$C14)</f>
        <v/>
      </c>
      <c r="L33" s="63" t="str">
        <f aca="false">IF($J33="","",SUMIF($B$4:$B$303,$J33,$F$4:$F$303))</f>
        <v/>
      </c>
      <c r="M33" s="56" t="str">
        <f aca="false">IF($J33="","",K33-L33)</f>
        <v/>
      </c>
      <c r="Q33" s="95" t="str">
        <f aca="false">IF(Gantt!$C33="","",Gantt!$C33)</f>
        <v/>
      </c>
      <c r="R33" s="95" t="str">
        <f aca="false">IF($Q33="","",Gantt!$B33)</f>
        <v/>
      </c>
      <c r="S33" s="95" t="str">
        <f aca="false">IF($Q33="","",Gantt!$G33)</f>
        <v/>
      </c>
      <c r="T33" s="95" t="str">
        <f aca="false">IF($Q33="","",SUMIF($C$4:$C$303,$Q33,$F$4:$F$303))</f>
        <v/>
      </c>
      <c r="U33" s="95" t="str">
        <f aca="false">IF($Q33="","",S33-T33)</f>
        <v/>
      </c>
      <c r="V33" s="97" t="str">
        <f aca="false">IF(OR($Q33="",N(S33)=0),"",T33/S33)</f>
        <v/>
      </c>
    </row>
    <row r="34" customFormat="false" ht="15" hidden="false" customHeight="false" outlineLevel="0" collapsed="false">
      <c r="A34" s="89"/>
      <c r="B34" s="62"/>
      <c r="C34" s="62"/>
      <c r="D34" s="63" t="str">
        <f aca="false">IF($C34="","",IFERROR(INDEX(Gantt!$B$4:$B$33,MATCH($C34,Gantt!$C$4:$C$33,0)),""))</f>
        <v/>
      </c>
      <c r="E34" s="70"/>
      <c r="F34" s="70"/>
      <c r="G34" s="90" t="str">
        <f aca="false">IF($A34="","",DATE(YEAR($A34),MONTH($A34),1))</f>
        <v/>
      </c>
      <c r="H34" s="62"/>
      <c r="J34" s="99" t="str">
        <f aca="false">IF(Équipe!$A15="","",Équipe!$A15)</f>
        <v/>
      </c>
      <c r="K34" s="99" t="str">
        <f aca="false">IF($J34="","",Équipe!$C15)</f>
        <v/>
      </c>
      <c r="L34" s="99" t="str">
        <f aca="false">IF($J34="","",SUMIF($B$4:$B$303,$J34,$F$4:$F$303))</f>
        <v/>
      </c>
      <c r="M34" s="99" t="str">
        <f aca="false">IF($J34="","",K34-L34)</f>
        <v/>
      </c>
      <c r="Q34" s="50" t="s">
        <v>32</v>
      </c>
      <c r="R34" s="50"/>
      <c r="S34" s="50" t="n">
        <f aca="false">SUM(S4:S33)</f>
        <v>1620</v>
      </c>
      <c r="T34" s="50" t="n">
        <f aca="false">SUM(T4:T33)</f>
        <v>143</v>
      </c>
      <c r="U34" s="50" t="n">
        <f aca="false">SUM(U4:U33)</f>
        <v>1477</v>
      </c>
      <c r="V34" s="50"/>
    </row>
    <row r="35" customFormat="false" ht="15" hidden="false" customHeight="false" outlineLevel="0" collapsed="false">
      <c r="A35" s="89"/>
      <c r="B35" s="62"/>
      <c r="C35" s="62"/>
      <c r="D35" s="92" t="str">
        <f aca="false">IF($C35="","",IFERROR(INDEX(Gantt!$B$4:$B$33,MATCH($C35,Gantt!$C$4:$C$33,0)),""))</f>
        <v/>
      </c>
      <c r="E35" s="70"/>
      <c r="F35" s="70"/>
      <c r="G35" s="93" t="str">
        <f aca="false">IF($A35="","",DATE(YEAR($A35),MONTH($A35),1))</f>
        <v/>
      </c>
      <c r="H35" s="62"/>
      <c r="J35" s="63" t="str">
        <f aca="false">IF(Équipe!$A16="","",Équipe!$A16)</f>
        <v/>
      </c>
      <c r="K35" s="63" t="str">
        <f aca="false">IF($J35="","",Équipe!$C16)</f>
        <v/>
      </c>
      <c r="L35" s="63" t="str">
        <f aca="false">IF($J35="","",SUMIF($B$4:$B$303,$J35,$F$4:$F$303))</f>
        <v/>
      </c>
      <c r="M35" s="56" t="str">
        <f aca="false">IF($J35="","",K35-L35)</f>
        <v/>
      </c>
    </row>
    <row r="36" customFormat="false" ht="15" hidden="false" customHeight="false" outlineLevel="0" collapsed="false">
      <c r="A36" s="89"/>
      <c r="B36" s="62"/>
      <c r="C36" s="62"/>
      <c r="D36" s="63" t="str">
        <f aca="false">IF($C36="","",IFERROR(INDEX(Gantt!$B$4:$B$33,MATCH($C36,Gantt!$C$4:$C$33,0)),""))</f>
        <v/>
      </c>
      <c r="E36" s="70"/>
      <c r="F36" s="70"/>
      <c r="G36" s="90" t="str">
        <f aca="false">IF($A36="","",DATE(YEAR($A36),MONTH($A36),1))</f>
        <v/>
      </c>
      <c r="H36" s="62"/>
      <c r="J36" s="99" t="str">
        <f aca="false">IF(Équipe!$A17="","",Équipe!$A17)</f>
        <v/>
      </c>
      <c r="K36" s="99" t="str">
        <f aca="false">IF($J36="","",Équipe!$C17)</f>
        <v/>
      </c>
      <c r="L36" s="99" t="str">
        <f aca="false">IF($J36="","",SUMIF($B$4:$B$303,$J36,$F$4:$F$303))</f>
        <v/>
      </c>
      <c r="M36" s="99" t="str">
        <f aca="false">IF($J36="","",K36-L36)</f>
        <v/>
      </c>
    </row>
    <row r="37" customFormat="false" ht="15" hidden="false" customHeight="false" outlineLevel="0" collapsed="false">
      <c r="A37" s="89"/>
      <c r="B37" s="62"/>
      <c r="C37" s="62"/>
      <c r="D37" s="92" t="str">
        <f aca="false">IF($C37="","",IFERROR(INDEX(Gantt!$B$4:$B$33,MATCH($C37,Gantt!$C$4:$C$33,0)),""))</f>
        <v/>
      </c>
      <c r="E37" s="70"/>
      <c r="F37" s="70"/>
      <c r="G37" s="93" t="str">
        <f aca="false">IF($A37="","",DATE(YEAR($A37),MONTH($A37),1))</f>
        <v/>
      </c>
      <c r="H37" s="62"/>
      <c r="J37" s="63" t="str">
        <f aca="false">IF(Équipe!$A18="","",Équipe!$A18)</f>
        <v/>
      </c>
      <c r="K37" s="63" t="str">
        <f aca="false">IF($J37="","",Équipe!$C18)</f>
        <v/>
      </c>
      <c r="L37" s="63" t="str">
        <f aca="false">IF($J37="","",SUMIF($B$4:$B$303,$J37,$F$4:$F$303))</f>
        <v/>
      </c>
      <c r="M37" s="56" t="str">
        <f aca="false">IF($J37="","",K37-L37)</f>
        <v/>
      </c>
    </row>
    <row r="38" customFormat="false" ht="15" hidden="false" customHeight="false" outlineLevel="0" collapsed="false">
      <c r="A38" s="89"/>
      <c r="B38" s="62"/>
      <c r="C38" s="62"/>
      <c r="D38" s="63" t="str">
        <f aca="false">IF($C38="","",IFERROR(INDEX(Gantt!$B$4:$B$33,MATCH($C38,Gantt!$C$4:$C$33,0)),""))</f>
        <v/>
      </c>
      <c r="E38" s="70"/>
      <c r="F38" s="70"/>
      <c r="G38" s="90" t="str">
        <f aca="false">IF($A38="","",DATE(YEAR($A38),MONTH($A38),1))</f>
        <v/>
      </c>
      <c r="H38" s="62"/>
      <c r="J38" s="99" t="str">
        <f aca="false">IF(Équipe!$A19="","",Équipe!$A19)</f>
        <v/>
      </c>
      <c r="K38" s="99" t="str">
        <f aca="false">IF($J38="","",Équipe!$C19)</f>
        <v/>
      </c>
      <c r="L38" s="99" t="str">
        <f aca="false">IF($J38="","",SUMIF($B$4:$B$303,$J38,$F$4:$F$303))</f>
        <v/>
      </c>
      <c r="M38" s="99" t="str">
        <f aca="false">IF($J38="","",K38-L38)</f>
        <v/>
      </c>
    </row>
    <row r="39" customFormat="false" ht="15" hidden="false" customHeight="false" outlineLevel="0" collapsed="false">
      <c r="A39" s="89"/>
      <c r="B39" s="62"/>
      <c r="C39" s="62"/>
      <c r="D39" s="92" t="str">
        <f aca="false">IF($C39="","",IFERROR(INDEX(Gantt!$B$4:$B$33,MATCH($C39,Gantt!$C$4:$C$33,0)),""))</f>
        <v/>
      </c>
      <c r="E39" s="70"/>
      <c r="F39" s="70"/>
      <c r="G39" s="93" t="str">
        <f aca="false">IF($A39="","",DATE(YEAR($A39),MONTH($A39),1))</f>
        <v/>
      </c>
      <c r="H39" s="62"/>
      <c r="J39" s="63" t="str">
        <f aca="false">IF(Équipe!$A20="","",Équipe!$A20)</f>
        <v/>
      </c>
      <c r="K39" s="63" t="str">
        <f aca="false">IF($J39="","",Équipe!$C20)</f>
        <v/>
      </c>
      <c r="L39" s="63" t="str">
        <f aca="false">IF($J39="","",SUMIF($B$4:$B$303,$J39,$F$4:$F$303))</f>
        <v/>
      </c>
      <c r="M39" s="56" t="str">
        <f aca="false">IF($J39="","",K39-L39)</f>
        <v/>
      </c>
    </row>
    <row r="40" customFormat="false" ht="15" hidden="false" customHeight="false" outlineLevel="0" collapsed="false">
      <c r="A40" s="89"/>
      <c r="B40" s="62"/>
      <c r="C40" s="62"/>
      <c r="D40" s="63" t="str">
        <f aca="false">IF($C40="","",IFERROR(INDEX(Gantt!$B$4:$B$33,MATCH($C40,Gantt!$C$4:$C$33,0)),""))</f>
        <v/>
      </c>
      <c r="E40" s="70"/>
      <c r="F40" s="70"/>
      <c r="G40" s="90" t="str">
        <f aca="false">IF($A40="","",DATE(YEAR($A40),MONTH($A40),1))</f>
        <v/>
      </c>
      <c r="H40" s="62"/>
      <c r="J40" s="99" t="str">
        <f aca="false">IF(Équipe!$A21="","",Équipe!$A21)</f>
        <v/>
      </c>
      <c r="K40" s="99" t="str">
        <f aca="false">IF($J40="","",Équipe!$C21)</f>
        <v/>
      </c>
      <c r="L40" s="99" t="str">
        <f aca="false">IF($J40="","",SUMIF($B$4:$B$303,$J40,$F$4:$F$303))</f>
        <v/>
      </c>
      <c r="M40" s="99" t="str">
        <f aca="false">IF($J40="","",K40-L40)</f>
        <v/>
      </c>
    </row>
    <row r="41" customFormat="false" ht="15" hidden="false" customHeight="false" outlineLevel="0" collapsed="false">
      <c r="A41" s="89"/>
      <c r="B41" s="62"/>
      <c r="C41" s="62"/>
      <c r="D41" s="92" t="str">
        <f aca="false">IF($C41="","",IFERROR(INDEX(Gantt!$B$4:$B$33,MATCH($C41,Gantt!$C$4:$C$33,0)),""))</f>
        <v/>
      </c>
      <c r="E41" s="70"/>
      <c r="F41" s="70"/>
      <c r="G41" s="93" t="str">
        <f aca="false">IF($A41="","",DATE(YEAR($A41),MONTH($A41),1))</f>
        <v/>
      </c>
      <c r="H41" s="62"/>
      <c r="J41" s="63" t="str">
        <f aca="false">IF(Équipe!$A22="","",Équipe!$A22)</f>
        <v/>
      </c>
      <c r="K41" s="63" t="str">
        <f aca="false">IF($J41="","",Équipe!$C22)</f>
        <v/>
      </c>
      <c r="L41" s="63" t="str">
        <f aca="false">IF($J41="","",SUMIF($B$4:$B$303,$J41,$F$4:$F$303))</f>
        <v/>
      </c>
      <c r="M41" s="56" t="str">
        <f aca="false">IF($J41="","",K41-L41)</f>
        <v/>
      </c>
    </row>
    <row r="42" customFormat="false" ht="15" hidden="false" customHeight="false" outlineLevel="0" collapsed="false">
      <c r="A42" s="89"/>
      <c r="B42" s="62"/>
      <c r="C42" s="62"/>
      <c r="D42" s="63" t="str">
        <f aca="false">IF($C42="","",IFERROR(INDEX(Gantt!$B$4:$B$33,MATCH($C42,Gantt!$C$4:$C$33,0)),""))</f>
        <v/>
      </c>
      <c r="E42" s="70"/>
      <c r="F42" s="70"/>
      <c r="G42" s="90" t="str">
        <f aca="false">IF($A42="","",DATE(YEAR($A42),MONTH($A42),1))</f>
        <v/>
      </c>
      <c r="H42" s="62"/>
      <c r="J42" s="99" t="str">
        <f aca="false">IF(Équipe!$A23="","",Équipe!$A23)</f>
        <v/>
      </c>
      <c r="K42" s="99" t="str">
        <f aca="false">IF($J42="","",Équipe!$C23)</f>
        <v/>
      </c>
      <c r="L42" s="99" t="str">
        <f aca="false">IF($J42="","",SUMIF($B$4:$B$303,$J42,$F$4:$F$303))</f>
        <v/>
      </c>
      <c r="M42" s="99" t="str">
        <f aca="false">IF($J42="","",K42-L42)</f>
        <v/>
      </c>
    </row>
    <row r="43" customFormat="false" ht="15" hidden="false" customHeight="false" outlineLevel="0" collapsed="false">
      <c r="A43" s="89"/>
      <c r="B43" s="62"/>
      <c r="C43" s="62"/>
      <c r="D43" s="92" t="str">
        <f aca="false">IF($C43="","",IFERROR(INDEX(Gantt!$B$4:$B$33,MATCH($C43,Gantt!$C$4:$C$33,0)),""))</f>
        <v/>
      </c>
      <c r="E43" s="70"/>
      <c r="F43" s="70"/>
      <c r="G43" s="93" t="str">
        <f aca="false">IF($A43="","",DATE(YEAR($A43),MONTH($A43),1))</f>
        <v/>
      </c>
      <c r="H43" s="62"/>
    </row>
    <row r="44" customFormat="false" ht="15" hidden="false" customHeight="false" outlineLevel="0" collapsed="false">
      <c r="A44" s="89"/>
      <c r="B44" s="62"/>
      <c r="C44" s="62"/>
      <c r="D44" s="63" t="str">
        <f aca="false">IF($C44="","",IFERROR(INDEX(Gantt!$B$4:$B$33,MATCH($C44,Gantt!$C$4:$C$33,0)),""))</f>
        <v/>
      </c>
      <c r="E44" s="70"/>
      <c r="F44" s="70"/>
      <c r="G44" s="90" t="str">
        <f aca="false">IF($A44="","",DATE(YEAR($A44),MONTH($A44),1))</f>
        <v/>
      </c>
      <c r="H44" s="62"/>
      <c r="J44" s="100" t="s">
        <v>101</v>
      </c>
    </row>
    <row r="45" customFormat="false" ht="24" hidden="false" customHeight="true" outlineLevel="0" collapsed="false">
      <c r="A45" s="89"/>
      <c r="B45" s="62"/>
      <c r="C45" s="62"/>
      <c r="D45" s="92" t="str">
        <f aca="false">IF($C45="","",IFERROR(INDEX(Gantt!$B$4:$B$33,MATCH($C45,Gantt!$C$4:$C$33,0)),""))</f>
        <v/>
      </c>
      <c r="E45" s="70"/>
      <c r="F45" s="70"/>
      <c r="G45" s="93" t="str">
        <f aca="false">IF($A45="","",DATE(YEAR($A45),MONTH($A45),1))</f>
        <v/>
      </c>
      <c r="H45" s="62"/>
      <c r="J45" s="87" t="s">
        <v>90</v>
      </c>
      <c r="K45" s="87" t="s">
        <v>91</v>
      </c>
      <c r="L45" s="87" t="s">
        <v>92</v>
      </c>
      <c r="M45" s="87" t="s">
        <v>102</v>
      </c>
    </row>
    <row r="46" customFormat="false" ht="15" hidden="false" customHeight="false" outlineLevel="0" collapsed="false">
      <c r="A46" s="89"/>
      <c r="B46" s="62"/>
      <c r="C46" s="62"/>
      <c r="D46" s="63" t="str">
        <f aca="false">IF($C46="","",IFERROR(INDEX(Gantt!$B$4:$B$33,MATCH($C46,Gantt!$C$4:$C$33,0)),""))</f>
        <v/>
      </c>
      <c r="E46" s="70"/>
      <c r="F46" s="70"/>
      <c r="G46" s="90" t="str">
        <f aca="false">IF($A46="","",DATE(YEAR($A46),MONTH($A46),1))</f>
        <v/>
      </c>
      <c r="H46" s="62"/>
      <c r="J46" s="90" t="n">
        <v>46266</v>
      </c>
      <c r="K46" s="63" t="n">
        <f aca="false">Gantt!J$34</f>
        <v>80</v>
      </c>
      <c r="L46" s="63" t="n">
        <f aca="false">SUMIF($G$4:$G$303,$J46,$F$4:$F$303)</f>
        <v>83</v>
      </c>
      <c r="M46" s="63" t="n">
        <f aca="false">SUM(K$46:K46)-SUM(L$46:L46)</f>
        <v>-3</v>
      </c>
    </row>
    <row r="47" customFormat="false" ht="15" hidden="false" customHeight="false" outlineLevel="0" collapsed="false">
      <c r="A47" s="89"/>
      <c r="B47" s="62"/>
      <c r="C47" s="62"/>
      <c r="D47" s="92" t="str">
        <f aca="false">IF($C47="","",IFERROR(INDEX(Gantt!$B$4:$B$33,MATCH($C47,Gantt!$C$4:$C$33,0)),""))</f>
        <v/>
      </c>
      <c r="E47" s="70"/>
      <c r="F47" s="70"/>
      <c r="G47" s="93" t="str">
        <f aca="false">IF($A47="","",DATE(YEAR($A47),MONTH($A47),1))</f>
        <v/>
      </c>
      <c r="H47" s="62"/>
      <c r="J47" s="101" t="n">
        <v>46296</v>
      </c>
      <c r="K47" s="79" t="n">
        <f aca="false">Gantt!K$34</f>
        <v>320</v>
      </c>
      <c r="L47" s="81" t="n">
        <f aca="false">SUMIF($G$4:$G$303,$J47,$F$4:$F$303)</f>
        <v>60</v>
      </c>
      <c r="M47" s="79" t="n">
        <f aca="false">SUM(K$46:K47)-SUM(L$46:L47)</f>
        <v>257</v>
      </c>
    </row>
    <row r="48" customFormat="false" ht="15" hidden="false" customHeight="false" outlineLevel="0" collapsed="false">
      <c r="A48" s="89"/>
      <c r="B48" s="62"/>
      <c r="C48" s="62"/>
      <c r="D48" s="63" t="str">
        <f aca="false">IF($C48="","",IFERROR(INDEX(Gantt!$B$4:$B$33,MATCH($C48,Gantt!$C$4:$C$33,0)),""))</f>
        <v/>
      </c>
      <c r="E48" s="70"/>
      <c r="F48" s="70"/>
      <c r="G48" s="90" t="str">
        <f aca="false">IF($A48="","",DATE(YEAR($A48),MONTH($A48),1))</f>
        <v/>
      </c>
      <c r="H48" s="62"/>
      <c r="J48" s="90" t="n">
        <v>46327</v>
      </c>
      <c r="K48" s="63" t="n">
        <f aca="false">Gantt!L$34</f>
        <v>320</v>
      </c>
      <c r="L48" s="56" t="n">
        <f aca="false">SUMIF($G$4:$G$303,$J48,$F$4:$F$303)</f>
        <v>0</v>
      </c>
      <c r="M48" s="63" t="n">
        <f aca="false">SUM(K$46:K48)-SUM(L$46:L48)</f>
        <v>577</v>
      </c>
    </row>
    <row r="49" customFormat="false" ht="15" hidden="false" customHeight="false" outlineLevel="0" collapsed="false">
      <c r="A49" s="89"/>
      <c r="B49" s="62"/>
      <c r="C49" s="62"/>
      <c r="D49" s="92" t="str">
        <f aca="false">IF($C49="","",IFERROR(INDEX(Gantt!$B$4:$B$33,MATCH($C49,Gantt!$C$4:$C$33,0)),""))</f>
        <v/>
      </c>
      <c r="E49" s="70"/>
      <c r="F49" s="70"/>
      <c r="G49" s="93" t="str">
        <f aca="false">IF($A49="","",DATE(YEAR($A49),MONTH($A49),1))</f>
        <v/>
      </c>
      <c r="H49" s="62"/>
      <c r="J49" s="101" t="n">
        <v>46357</v>
      </c>
      <c r="K49" s="79" t="n">
        <f aca="false">Gantt!M$34</f>
        <v>320</v>
      </c>
      <c r="L49" s="79" t="n">
        <f aca="false">SUMIF($G$4:$G$303,$J49,$F$4:$F$303)</f>
        <v>0</v>
      </c>
      <c r="M49" s="79" t="n">
        <f aca="false">SUM(K$46:K49)-SUM(L$46:L49)</f>
        <v>897</v>
      </c>
    </row>
    <row r="50" customFormat="false" ht="15" hidden="false" customHeight="false" outlineLevel="0" collapsed="false">
      <c r="A50" s="89"/>
      <c r="B50" s="62"/>
      <c r="C50" s="62"/>
      <c r="D50" s="63" t="str">
        <f aca="false">IF($C50="","",IFERROR(INDEX(Gantt!$B$4:$B$33,MATCH($C50,Gantt!$C$4:$C$33,0)),""))</f>
        <v/>
      </c>
      <c r="E50" s="70"/>
      <c r="F50" s="70"/>
      <c r="G50" s="90" t="str">
        <f aca="false">IF($A50="","",DATE(YEAR($A50),MONTH($A50),1))</f>
        <v/>
      </c>
      <c r="H50" s="62"/>
      <c r="J50" s="90" t="n">
        <v>46388</v>
      </c>
      <c r="K50" s="63" t="n">
        <f aca="false">Gantt!N$34</f>
        <v>320</v>
      </c>
      <c r="L50" s="63" t="n">
        <f aca="false">SUMIF($G$4:$G$303,$J50,$F$4:$F$303)</f>
        <v>0</v>
      </c>
      <c r="M50" s="63" t="n">
        <f aca="false">SUM(K$46:K50)-SUM(L$46:L50)</f>
        <v>1217</v>
      </c>
    </row>
    <row r="51" customFormat="false" ht="15" hidden="false" customHeight="false" outlineLevel="0" collapsed="false">
      <c r="A51" s="89"/>
      <c r="B51" s="62"/>
      <c r="C51" s="62"/>
      <c r="D51" s="92" t="str">
        <f aca="false">IF($C51="","",IFERROR(INDEX(Gantt!$B$4:$B$33,MATCH($C51,Gantt!$C$4:$C$33,0)),""))</f>
        <v/>
      </c>
      <c r="E51" s="70"/>
      <c r="F51" s="70"/>
      <c r="G51" s="93" t="str">
        <f aca="false">IF($A51="","",DATE(YEAR($A51),MONTH($A51),1))</f>
        <v/>
      </c>
      <c r="H51" s="62"/>
      <c r="J51" s="101" t="n">
        <v>46419</v>
      </c>
      <c r="K51" s="79" t="n">
        <f aca="false">Gantt!O$34</f>
        <v>260</v>
      </c>
      <c r="L51" s="81" t="n">
        <f aca="false">SUMIF($G$4:$G$303,$J51,$F$4:$F$303)</f>
        <v>0</v>
      </c>
      <c r="M51" s="79" t="n">
        <f aca="false">SUM(K$46:K51)-SUM(L$46:L51)</f>
        <v>1477</v>
      </c>
    </row>
    <row r="52" customFormat="false" ht="15" hidden="false" customHeight="false" outlineLevel="0" collapsed="false">
      <c r="A52" s="89"/>
      <c r="B52" s="62"/>
      <c r="C52" s="62"/>
      <c r="D52" s="63" t="str">
        <f aca="false">IF($C52="","",IFERROR(INDEX(Gantt!$B$4:$B$33,MATCH($C52,Gantt!$C$4:$C$33,0)),""))</f>
        <v/>
      </c>
      <c r="E52" s="70"/>
      <c r="F52" s="70"/>
      <c r="G52" s="90" t="str">
        <f aca="false">IF($A52="","",DATE(YEAR($A52),MONTH($A52),1))</f>
        <v/>
      </c>
      <c r="H52" s="62"/>
      <c r="J52" s="90" t="n">
        <v>46447</v>
      </c>
      <c r="K52" s="63" t="n">
        <f aca="false">Gantt!P$34</f>
        <v>0</v>
      </c>
      <c r="L52" s="56" t="n">
        <f aca="false">SUMIF($G$4:$G$303,$J52,$F$4:$F$303)</f>
        <v>0</v>
      </c>
      <c r="M52" s="63" t="n">
        <f aca="false">SUM(K$46:K52)-SUM(L$46:L52)</f>
        <v>1477</v>
      </c>
    </row>
    <row r="53" customFormat="false" ht="15" hidden="false" customHeight="false" outlineLevel="0" collapsed="false">
      <c r="A53" s="89"/>
      <c r="B53" s="62"/>
      <c r="C53" s="62"/>
      <c r="D53" s="92" t="str">
        <f aca="false">IF($C53="","",IFERROR(INDEX(Gantt!$B$4:$B$33,MATCH($C53,Gantt!$C$4:$C$33,0)),""))</f>
        <v/>
      </c>
      <c r="E53" s="70"/>
      <c r="F53" s="70"/>
      <c r="G53" s="93" t="str">
        <f aca="false">IF($A53="","",DATE(YEAR($A53),MONTH($A53),1))</f>
        <v/>
      </c>
      <c r="H53" s="62"/>
      <c r="J53" s="101" t="n">
        <v>46478</v>
      </c>
      <c r="K53" s="79" t="n">
        <f aca="false">Gantt!Q$34</f>
        <v>0</v>
      </c>
      <c r="L53" s="79" t="n">
        <f aca="false">SUMIF($G$4:$G$303,$J53,$F$4:$F$303)</f>
        <v>0</v>
      </c>
      <c r="M53" s="79" t="n">
        <f aca="false">SUM(K$46:K53)-SUM(L$46:L53)</f>
        <v>1477</v>
      </c>
    </row>
    <row r="54" customFormat="false" ht="15" hidden="false" customHeight="false" outlineLevel="0" collapsed="false">
      <c r="A54" s="89"/>
      <c r="B54" s="62"/>
      <c r="C54" s="62"/>
      <c r="D54" s="63" t="str">
        <f aca="false">IF($C54="","",IFERROR(INDEX(Gantt!$B$4:$B$33,MATCH($C54,Gantt!$C$4:$C$33,0)),""))</f>
        <v/>
      </c>
      <c r="E54" s="70"/>
      <c r="F54" s="70"/>
      <c r="G54" s="90" t="str">
        <f aca="false">IF($A54="","",DATE(YEAR($A54),MONTH($A54),1))</f>
        <v/>
      </c>
      <c r="H54" s="62"/>
      <c r="J54" s="90" t="n">
        <v>46508</v>
      </c>
      <c r="K54" s="63" t="n">
        <f aca="false">Gantt!R$34</f>
        <v>0</v>
      </c>
      <c r="L54" s="63" t="n">
        <f aca="false">SUMIF($G$4:$G$303,$J54,$F$4:$F$303)</f>
        <v>0</v>
      </c>
      <c r="M54" s="63" t="n">
        <f aca="false">SUM(K$46:K54)-SUM(L$46:L54)</f>
        <v>1477</v>
      </c>
    </row>
    <row r="55" customFormat="false" ht="15" hidden="false" customHeight="false" outlineLevel="0" collapsed="false">
      <c r="A55" s="89"/>
      <c r="B55" s="62"/>
      <c r="C55" s="62"/>
      <c r="D55" s="92" t="str">
        <f aca="false">IF($C55="","",IFERROR(INDEX(Gantt!$B$4:$B$33,MATCH($C55,Gantt!$C$4:$C$33,0)),""))</f>
        <v/>
      </c>
      <c r="E55" s="70"/>
      <c r="F55" s="70"/>
      <c r="G55" s="93" t="str">
        <f aca="false">IF($A55="","",DATE(YEAR($A55),MONTH($A55),1))</f>
        <v/>
      </c>
      <c r="H55" s="62"/>
      <c r="J55" s="101" t="n">
        <v>46539</v>
      </c>
      <c r="K55" s="79" t="n">
        <f aca="false">Gantt!S$34</f>
        <v>0</v>
      </c>
      <c r="L55" s="81" t="n">
        <f aca="false">SUMIF($G$4:$G$303,$J55,$F$4:$F$303)</f>
        <v>0</v>
      </c>
      <c r="M55" s="79" t="n">
        <f aca="false">SUM(K$46:K55)-SUM(L$46:L55)</f>
        <v>1477</v>
      </c>
    </row>
    <row r="56" customFormat="false" ht="15" hidden="false" customHeight="false" outlineLevel="0" collapsed="false">
      <c r="A56" s="89"/>
      <c r="B56" s="62"/>
      <c r="C56" s="62"/>
      <c r="D56" s="63" t="str">
        <f aca="false">IF($C56="","",IFERROR(INDEX(Gantt!$B$4:$B$33,MATCH($C56,Gantt!$C$4:$C$33,0)),""))</f>
        <v/>
      </c>
      <c r="E56" s="70"/>
      <c r="F56" s="70"/>
      <c r="G56" s="90" t="str">
        <f aca="false">IF($A56="","",DATE(YEAR($A56),MONTH($A56),1))</f>
        <v/>
      </c>
      <c r="H56" s="62"/>
      <c r="J56" s="90" t="n">
        <v>46569</v>
      </c>
      <c r="K56" s="63" t="n">
        <f aca="false">Gantt!T$34</f>
        <v>0</v>
      </c>
      <c r="L56" s="56" t="n">
        <f aca="false">SUMIF($G$4:$G$303,$J56,$F$4:$F$303)</f>
        <v>0</v>
      </c>
      <c r="M56" s="63" t="n">
        <f aca="false">SUM(K$46:K56)-SUM(L$46:L56)</f>
        <v>1477</v>
      </c>
    </row>
    <row r="57" customFormat="false" ht="15" hidden="false" customHeight="false" outlineLevel="0" collapsed="false">
      <c r="A57" s="89"/>
      <c r="B57" s="62"/>
      <c r="C57" s="62"/>
      <c r="D57" s="92" t="str">
        <f aca="false">IF($C57="","",IFERROR(INDEX(Gantt!$B$4:$B$33,MATCH($C57,Gantt!$C$4:$C$33,0)),""))</f>
        <v/>
      </c>
      <c r="E57" s="70"/>
      <c r="F57" s="70"/>
      <c r="G57" s="93" t="str">
        <f aca="false">IF($A57="","",DATE(YEAR($A57),MONTH($A57),1))</f>
        <v/>
      </c>
      <c r="H57" s="62"/>
      <c r="J57" s="101" t="n">
        <v>46600</v>
      </c>
      <c r="K57" s="79" t="n">
        <f aca="false">Gantt!U$34</f>
        <v>0</v>
      </c>
      <c r="L57" s="79" t="n">
        <f aca="false">SUMIF($G$4:$G$303,$J57,$F$4:$F$303)</f>
        <v>0</v>
      </c>
      <c r="M57" s="79" t="n">
        <f aca="false">SUM(K$46:K57)-SUM(L$46:L57)</f>
        <v>1477</v>
      </c>
    </row>
    <row r="58" customFormat="false" ht="15" hidden="false" customHeight="false" outlineLevel="0" collapsed="false">
      <c r="A58" s="89"/>
      <c r="B58" s="62"/>
      <c r="C58" s="62"/>
      <c r="D58" s="63" t="str">
        <f aca="false">IF($C58="","",IFERROR(INDEX(Gantt!$B$4:$B$33,MATCH($C58,Gantt!$C$4:$C$33,0)),""))</f>
        <v/>
      </c>
      <c r="E58" s="70"/>
      <c r="F58" s="70"/>
      <c r="G58" s="90" t="str">
        <f aca="false">IF($A58="","",DATE(YEAR($A58),MONTH($A58),1))</f>
        <v/>
      </c>
      <c r="H58" s="62"/>
      <c r="J58" s="90" t="n">
        <v>46631</v>
      </c>
      <c r="K58" s="63" t="n">
        <f aca="false">Gantt!V$34</f>
        <v>0</v>
      </c>
      <c r="L58" s="56" t="n">
        <f aca="false">SUMIF($G$4:$G$303,$J58,$F$4:$F$303)</f>
        <v>0</v>
      </c>
      <c r="M58" s="63" t="n">
        <f aca="false">SUM(K$46:K58)-SUM(L$46:L58)</f>
        <v>1477</v>
      </c>
    </row>
    <row r="59" customFormat="false" ht="15" hidden="false" customHeight="false" outlineLevel="0" collapsed="false">
      <c r="A59" s="89"/>
      <c r="B59" s="62"/>
      <c r="C59" s="62"/>
      <c r="D59" s="92" t="str">
        <f aca="false">IF($C59="","",IFERROR(INDEX(Gantt!$B$4:$B$33,MATCH($C59,Gantt!$C$4:$C$33,0)),""))</f>
        <v/>
      </c>
      <c r="E59" s="70"/>
      <c r="F59" s="70"/>
      <c r="G59" s="93" t="str">
        <f aca="false">IF($A59="","",DATE(YEAR($A59),MONTH($A59),1))</f>
        <v/>
      </c>
      <c r="H59" s="62"/>
      <c r="J59" s="101" t="n">
        <v>46661</v>
      </c>
      <c r="K59" s="79" t="n">
        <f aca="false">Gantt!W$34</f>
        <v>0</v>
      </c>
      <c r="L59" s="81" t="n">
        <f aca="false">SUMIF($G$4:$G$303,$J59,$F$4:$F$303)</f>
        <v>0</v>
      </c>
      <c r="M59" s="79" t="n">
        <f aca="false">SUM(K$46:K59)-SUM(L$46:L59)</f>
        <v>1477</v>
      </c>
    </row>
    <row r="60" customFormat="false" ht="15" hidden="false" customHeight="false" outlineLevel="0" collapsed="false">
      <c r="A60" s="89"/>
      <c r="B60" s="62"/>
      <c r="C60" s="62"/>
      <c r="D60" s="63" t="str">
        <f aca="false">IF($C60="","",IFERROR(INDEX(Gantt!$B$4:$B$33,MATCH($C60,Gantt!$C$4:$C$33,0)),""))</f>
        <v/>
      </c>
      <c r="E60" s="70"/>
      <c r="F60" s="70"/>
      <c r="G60" s="90" t="str">
        <f aca="false">IF($A60="","",DATE(YEAR($A60),MONTH($A60),1))</f>
        <v/>
      </c>
      <c r="H60" s="62"/>
      <c r="J60" s="90" t="n">
        <v>46692</v>
      </c>
      <c r="K60" s="63" t="n">
        <f aca="false">Gantt!X$34</f>
        <v>0</v>
      </c>
      <c r="L60" s="56" t="n">
        <f aca="false">SUMIF($G$4:$G$303,$J60,$F$4:$F$303)</f>
        <v>0</v>
      </c>
      <c r="M60" s="63" t="n">
        <f aca="false">SUM(K$46:K60)-SUM(L$46:L60)</f>
        <v>1477</v>
      </c>
    </row>
    <row r="61" customFormat="false" ht="15" hidden="false" customHeight="false" outlineLevel="0" collapsed="false">
      <c r="A61" s="89"/>
      <c r="B61" s="62"/>
      <c r="C61" s="62"/>
      <c r="D61" s="92" t="str">
        <f aca="false">IF($C61="","",IFERROR(INDEX(Gantt!$B$4:$B$33,MATCH($C61,Gantt!$C$4:$C$33,0)),""))</f>
        <v/>
      </c>
      <c r="E61" s="70"/>
      <c r="F61" s="70"/>
      <c r="G61" s="93" t="str">
        <f aca="false">IF($A61="","",DATE(YEAR($A61),MONTH($A61),1))</f>
        <v/>
      </c>
      <c r="H61" s="62"/>
      <c r="J61" s="101" t="n">
        <v>46722</v>
      </c>
      <c r="K61" s="79" t="n">
        <f aca="false">Gantt!Y$34</f>
        <v>0</v>
      </c>
      <c r="L61" s="79" t="n">
        <f aca="false">SUMIF($G$4:$G$303,$J61,$F$4:$F$303)</f>
        <v>0</v>
      </c>
      <c r="M61" s="79" t="n">
        <f aca="false">SUM(K$46:K61)-SUM(L$46:L61)</f>
        <v>1477</v>
      </c>
    </row>
    <row r="62" customFormat="false" ht="15" hidden="false" customHeight="false" outlineLevel="0" collapsed="false">
      <c r="A62" s="89"/>
      <c r="B62" s="62"/>
      <c r="C62" s="62"/>
      <c r="D62" s="63" t="str">
        <f aca="false">IF($C62="","",IFERROR(INDEX(Gantt!$B$4:$B$33,MATCH($C62,Gantt!$C$4:$C$33,0)),""))</f>
        <v/>
      </c>
      <c r="E62" s="70"/>
      <c r="F62" s="70"/>
      <c r="G62" s="90" t="str">
        <f aca="false">IF($A62="","",DATE(YEAR($A62),MONTH($A62),1))</f>
        <v/>
      </c>
      <c r="H62" s="62"/>
      <c r="J62" s="90" t="n">
        <v>46753</v>
      </c>
      <c r="K62" s="63" t="n">
        <f aca="false">Gantt!Z$34</f>
        <v>0</v>
      </c>
      <c r="L62" s="63" t="n">
        <f aca="false">SUMIF($G$4:$G$303,$J62,$F$4:$F$303)</f>
        <v>0</v>
      </c>
      <c r="M62" s="63" t="n">
        <f aca="false">SUM(K$46:K62)-SUM(L$46:L62)</f>
        <v>1477</v>
      </c>
    </row>
    <row r="63" customFormat="false" ht="15" hidden="false" customHeight="false" outlineLevel="0" collapsed="false">
      <c r="A63" s="89"/>
      <c r="B63" s="62"/>
      <c r="C63" s="62"/>
      <c r="D63" s="92" t="str">
        <f aca="false">IF($C63="","",IFERROR(INDEX(Gantt!$B$4:$B$33,MATCH($C63,Gantt!$C$4:$C$33,0)),""))</f>
        <v/>
      </c>
      <c r="E63" s="70"/>
      <c r="F63" s="70"/>
      <c r="G63" s="93" t="str">
        <f aca="false">IF($A63="","",DATE(YEAR($A63),MONTH($A63),1))</f>
        <v/>
      </c>
      <c r="H63" s="62"/>
      <c r="J63" s="101" t="n">
        <v>46784</v>
      </c>
      <c r="K63" s="79" t="n">
        <f aca="false">Gantt!AA$34</f>
        <v>0</v>
      </c>
      <c r="L63" s="81" t="n">
        <f aca="false">SUMIF($G$4:$G$303,$J63,$F$4:$F$303)</f>
        <v>0</v>
      </c>
      <c r="M63" s="79" t="n">
        <f aca="false">SUM(K$46:K63)-SUM(L$46:L63)</f>
        <v>1477</v>
      </c>
    </row>
    <row r="64" customFormat="false" ht="15" hidden="false" customHeight="false" outlineLevel="0" collapsed="false">
      <c r="A64" s="89"/>
      <c r="B64" s="62"/>
      <c r="C64" s="62"/>
      <c r="D64" s="63" t="str">
        <f aca="false">IF($C64="","",IFERROR(INDEX(Gantt!$B$4:$B$33,MATCH($C64,Gantt!$C$4:$C$33,0)),""))</f>
        <v/>
      </c>
      <c r="E64" s="70"/>
      <c r="F64" s="70"/>
      <c r="G64" s="90" t="str">
        <f aca="false">IF($A64="","",DATE(YEAR($A64),MONTH($A64),1))</f>
        <v/>
      </c>
      <c r="H64" s="62"/>
    </row>
    <row r="65" customFormat="false" ht="15" hidden="false" customHeight="false" outlineLevel="0" collapsed="false">
      <c r="A65" s="89"/>
      <c r="B65" s="62"/>
      <c r="C65" s="62"/>
      <c r="D65" s="92" t="str">
        <f aca="false">IF($C65="","",IFERROR(INDEX(Gantt!$B$4:$B$33,MATCH($C65,Gantt!$C$4:$C$33,0)),""))</f>
        <v/>
      </c>
      <c r="E65" s="70"/>
      <c r="F65" s="70"/>
      <c r="G65" s="93" t="str">
        <f aca="false">IF($A65="","",DATE(YEAR($A65),MONTH($A65),1))</f>
        <v/>
      </c>
      <c r="H65" s="62"/>
    </row>
    <row r="66" customFormat="false" ht="15" hidden="false" customHeight="false" outlineLevel="0" collapsed="false">
      <c r="A66" s="89"/>
      <c r="B66" s="62"/>
      <c r="C66" s="62"/>
      <c r="D66" s="63" t="str">
        <f aca="false">IF($C66="","",IFERROR(INDEX(Gantt!$B$4:$B$33,MATCH($C66,Gantt!$C$4:$C$33,0)),""))</f>
        <v/>
      </c>
      <c r="E66" s="70"/>
      <c r="F66" s="70"/>
      <c r="G66" s="90" t="str">
        <f aca="false">IF($A66="","",DATE(YEAR($A66),MONTH($A66),1))</f>
        <v/>
      </c>
      <c r="H66" s="62"/>
    </row>
    <row r="67" customFormat="false" ht="15" hidden="false" customHeight="false" outlineLevel="0" collapsed="false">
      <c r="A67" s="89"/>
      <c r="B67" s="62"/>
      <c r="C67" s="62"/>
      <c r="D67" s="92" t="str">
        <f aca="false">IF($C67="","",IFERROR(INDEX(Gantt!$B$4:$B$33,MATCH($C67,Gantt!$C$4:$C$33,0)),""))</f>
        <v/>
      </c>
      <c r="E67" s="70"/>
      <c r="F67" s="70"/>
      <c r="G67" s="93" t="str">
        <f aca="false">IF($A67="","",DATE(YEAR($A67),MONTH($A67),1))</f>
        <v/>
      </c>
      <c r="H67" s="62"/>
    </row>
    <row r="68" customFormat="false" ht="15" hidden="false" customHeight="false" outlineLevel="0" collapsed="false">
      <c r="A68" s="89"/>
      <c r="B68" s="62"/>
      <c r="C68" s="62"/>
      <c r="D68" s="63" t="str">
        <f aca="false">IF($C68="","",IFERROR(INDEX(Gantt!$B$4:$B$33,MATCH($C68,Gantt!$C$4:$C$33,0)),""))</f>
        <v/>
      </c>
      <c r="E68" s="70"/>
      <c r="F68" s="70"/>
      <c r="G68" s="90" t="str">
        <f aca="false">IF($A68="","",DATE(YEAR($A68),MONTH($A68),1))</f>
        <v/>
      </c>
      <c r="H68" s="62"/>
    </row>
    <row r="69" customFormat="false" ht="15" hidden="false" customHeight="false" outlineLevel="0" collapsed="false">
      <c r="A69" s="89"/>
      <c r="B69" s="62"/>
      <c r="C69" s="62"/>
      <c r="D69" s="92" t="str">
        <f aca="false">IF($C69="","",IFERROR(INDEX(Gantt!$B$4:$B$33,MATCH($C69,Gantt!$C$4:$C$33,0)),""))</f>
        <v/>
      </c>
      <c r="E69" s="70"/>
      <c r="F69" s="70"/>
      <c r="G69" s="93" t="str">
        <f aca="false">IF($A69="","",DATE(YEAR($A69),MONTH($A69),1))</f>
        <v/>
      </c>
      <c r="H69" s="62"/>
    </row>
    <row r="70" customFormat="false" ht="15" hidden="false" customHeight="false" outlineLevel="0" collapsed="false">
      <c r="A70" s="89"/>
      <c r="B70" s="62"/>
      <c r="C70" s="62"/>
      <c r="D70" s="63" t="str">
        <f aca="false">IF($C70="","",IFERROR(INDEX(Gantt!$B$4:$B$33,MATCH($C70,Gantt!$C$4:$C$33,0)),""))</f>
        <v/>
      </c>
      <c r="E70" s="70"/>
      <c r="F70" s="70"/>
      <c r="G70" s="90" t="str">
        <f aca="false">IF($A70="","",DATE(YEAR($A70),MONTH($A70),1))</f>
        <v/>
      </c>
      <c r="H70" s="62"/>
    </row>
    <row r="71" customFormat="false" ht="15" hidden="false" customHeight="false" outlineLevel="0" collapsed="false">
      <c r="A71" s="89"/>
      <c r="B71" s="62"/>
      <c r="C71" s="62"/>
      <c r="D71" s="92" t="str">
        <f aca="false">IF($C71="","",IFERROR(INDEX(Gantt!$B$4:$B$33,MATCH($C71,Gantt!$C$4:$C$33,0)),""))</f>
        <v/>
      </c>
      <c r="E71" s="70"/>
      <c r="F71" s="70"/>
      <c r="G71" s="93" t="str">
        <f aca="false">IF($A71="","",DATE(YEAR($A71),MONTH($A71),1))</f>
        <v/>
      </c>
      <c r="H71" s="62"/>
    </row>
    <row r="72" customFormat="false" ht="15" hidden="false" customHeight="false" outlineLevel="0" collapsed="false">
      <c r="A72" s="89"/>
      <c r="B72" s="62"/>
      <c r="C72" s="62"/>
      <c r="D72" s="63" t="str">
        <f aca="false">IF($C72="","",IFERROR(INDEX(Gantt!$B$4:$B$33,MATCH($C72,Gantt!$C$4:$C$33,0)),""))</f>
        <v/>
      </c>
      <c r="E72" s="70"/>
      <c r="F72" s="70"/>
      <c r="G72" s="90" t="str">
        <f aca="false">IF($A72="","",DATE(YEAR($A72),MONTH($A72),1))</f>
        <v/>
      </c>
      <c r="H72" s="62"/>
    </row>
    <row r="73" customFormat="false" ht="15" hidden="false" customHeight="false" outlineLevel="0" collapsed="false">
      <c r="A73" s="89"/>
      <c r="B73" s="62"/>
      <c r="C73" s="62"/>
      <c r="D73" s="92" t="str">
        <f aca="false">IF($C73="","",IFERROR(INDEX(Gantt!$B$4:$B$33,MATCH($C73,Gantt!$C$4:$C$33,0)),""))</f>
        <v/>
      </c>
      <c r="E73" s="70"/>
      <c r="F73" s="70"/>
      <c r="G73" s="93" t="str">
        <f aca="false">IF($A73="","",DATE(YEAR($A73),MONTH($A73),1))</f>
        <v/>
      </c>
      <c r="H73" s="62"/>
    </row>
    <row r="74" customFormat="false" ht="15" hidden="false" customHeight="false" outlineLevel="0" collapsed="false">
      <c r="A74" s="89"/>
      <c r="B74" s="62"/>
      <c r="C74" s="62"/>
      <c r="D74" s="63" t="str">
        <f aca="false">IF($C74="","",IFERROR(INDEX(Gantt!$B$4:$B$33,MATCH($C74,Gantt!$C$4:$C$33,0)),""))</f>
        <v/>
      </c>
      <c r="E74" s="70"/>
      <c r="F74" s="70"/>
      <c r="G74" s="90" t="str">
        <f aca="false">IF($A74="","",DATE(YEAR($A74),MONTH($A74),1))</f>
        <v/>
      </c>
      <c r="H74" s="62"/>
    </row>
    <row r="75" customFormat="false" ht="15" hidden="false" customHeight="false" outlineLevel="0" collapsed="false">
      <c r="A75" s="89"/>
      <c r="B75" s="62"/>
      <c r="C75" s="62"/>
      <c r="D75" s="92" t="str">
        <f aca="false">IF($C75="","",IFERROR(INDEX(Gantt!$B$4:$B$33,MATCH($C75,Gantt!$C$4:$C$33,0)),""))</f>
        <v/>
      </c>
      <c r="E75" s="70"/>
      <c r="F75" s="70"/>
      <c r="G75" s="93" t="str">
        <f aca="false">IF($A75="","",DATE(YEAR($A75),MONTH($A75),1))</f>
        <v/>
      </c>
      <c r="H75" s="62"/>
    </row>
    <row r="76" customFormat="false" ht="15" hidden="false" customHeight="false" outlineLevel="0" collapsed="false">
      <c r="A76" s="89"/>
      <c r="B76" s="62"/>
      <c r="C76" s="62"/>
      <c r="D76" s="63" t="str">
        <f aca="false">IF($C76="","",IFERROR(INDEX(Gantt!$B$4:$B$33,MATCH($C76,Gantt!$C$4:$C$33,0)),""))</f>
        <v/>
      </c>
      <c r="E76" s="70"/>
      <c r="F76" s="70"/>
      <c r="G76" s="90" t="str">
        <f aca="false">IF($A76="","",DATE(YEAR($A76),MONTH($A76),1))</f>
        <v/>
      </c>
      <c r="H76" s="62"/>
    </row>
    <row r="77" customFormat="false" ht="15" hidden="false" customHeight="false" outlineLevel="0" collapsed="false">
      <c r="A77" s="89"/>
      <c r="B77" s="62"/>
      <c r="C77" s="62"/>
      <c r="D77" s="92" t="str">
        <f aca="false">IF($C77="","",IFERROR(INDEX(Gantt!$B$4:$B$33,MATCH($C77,Gantt!$C$4:$C$33,0)),""))</f>
        <v/>
      </c>
      <c r="E77" s="70"/>
      <c r="F77" s="70"/>
      <c r="G77" s="93" t="str">
        <f aca="false">IF($A77="","",DATE(YEAR($A77),MONTH($A77),1))</f>
        <v/>
      </c>
      <c r="H77" s="62"/>
    </row>
    <row r="78" customFormat="false" ht="15" hidden="false" customHeight="false" outlineLevel="0" collapsed="false">
      <c r="A78" s="89"/>
      <c r="B78" s="62"/>
      <c r="C78" s="62"/>
      <c r="D78" s="63" t="str">
        <f aca="false">IF($C78="","",IFERROR(INDEX(Gantt!$B$4:$B$33,MATCH($C78,Gantt!$C$4:$C$33,0)),""))</f>
        <v/>
      </c>
      <c r="E78" s="70"/>
      <c r="F78" s="70"/>
      <c r="G78" s="90" t="str">
        <f aca="false">IF($A78="","",DATE(YEAR($A78),MONTH($A78),1))</f>
        <v/>
      </c>
      <c r="H78" s="62"/>
    </row>
    <row r="79" customFormat="false" ht="15" hidden="false" customHeight="false" outlineLevel="0" collapsed="false">
      <c r="A79" s="89"/>
      <c r="B79" s="62"/>
      <c r="C79" s="62"/>
      <c r="D79" s="92" t="str">
        <f aca="false">IF($C79="","",IFERROR(INDEX(Gantt!$B$4:$B$33,MATCH($C79,Gantt!$C$4:$C$33,0)),""))</f>
        <v/>
      </c>
      <c r="E79" s="70"/>
      <c r="F79" s="70"/>
      <c r="G79" s="93" t="str">
        <f aca="false">IF($A79="","",DATE(YEAR($A79),MONTH($A79),1))</f>
        <v/>
      </c>
      <c r="H79" s="62"/>
    </row>
    <row r="80" customFormat="false" ht="15" hidden="false" customHeight="false" outlineLevel="0" collapsed="false">
      <c r="A80" s="89"/>
      <c r="B80" s="62"/>
      <c r="C80" s="62"/>
      <c r="D80" s="63" t="str">
        <f aca="false">IF($C80="","",IFERROR(INDEX(Gantt!$B$4:$B$33,MATCH($C80,Gantt!$C$4:$C$33,0)),""))</f>
        <v/>
      </c>
      <c r="E80" s="70"/>
      <c r="F80" s="70"/>
      <c r="G80" s="90" t="str">
        <f aca="false">IF($A80="","",DATE(YEAR($A80),MONTH($A80),1))</f>
        <v/>
      </c>
      <c r="H80" s="62"/>
    </row>
    <row r="81" customFormat="false" ht="15" hidden="false" customHeight="false" outlineLevel="0" collapsed="false">
      <c r="A81" s="89"/>
      <c r="B81" s="62"/>
      <c r="C81" s="62"/>
      <c r="D81" s="92" t="str">
        <f aca="false">IF($C81="","",IFERROR(INDEX(Gantt!$B$4:$B$33,MATCH($C81,Gantt!$C$4:$C$33,0)),""))</f>
        <v/>
      </c>
      <c r="E81" s="70"/>
      <c r="F81" s="70"/>
      <c r="G81" s="93" t="str">
        <f aca="false">IF($A81="","",DATE(YEAR($A81),MONTH($A81),1))</f>
        <v/>
      </c>
      <c r="H81" s="62"/>
    </row>
    <row r="82" customFormat="false" ht="15" hidden="false" customHeight="false" outlineLevel="0" collapsed="false">
      <c r="A82" s="89"/>
      <c r="B82" s="62"/>
      <c r="C82" s="62"/>
      <c r="D82" s="63" t="str">
        <f aca="false">IF($C82="","",IFERROR(INDEX(Gantt!$B$4:$B$33,MATCH($C82,Gantt!$C$4:$C$33,0)),""))</f>
        <v/>
      </c>
      <c r="E82" s="70"/>
      <c r="F82" s="70"/>
      <c r="G82" s="90" t="str">
        <f aca="false">IF($A82="","",DATE(YEAR($A82),MONTH($A82),1))</f>
        <v/>
      </c>
      <c r="H82" s="62"/>
    </row>
    <row r="83" customFormat="false" ht="15" hidden="false" customHeight="false" outlineLevel="0" collapsed="false">
      <c r="A83" s="89"/>
      <c r="B83" s="62"/>
      <c r="C83" s="62"/>
      <c r="D83" s="92" t="str">
        <f aca="false">IF($C83="","",IFERROR(INDEX(Gantt!$B$4:$B$33,MATCH($C83,Gantt!$C$4:$C$33,0)),""))</f>
        <v/>
      </c>
      <c r="E83" s="70"/>
      <c r="F83" s="70"/>
      <c r="G83" s="93" t="str">
        <f aca="false">IF($A83="","",DATE(YEAR($A83),MONTH($A83),1))</f>
        <v/>
      </c>
      <c r="H83" s="62"/>
    </row>
    <row r="84" customFormat="false" ht="15" hidden="false" customHeight="false" outlineLevel="0" collapsed="false">
      <c r="A84" s="89"/>
      <c r="B84" s="62"/>
      <c r="C84" s="62"/>
      <c r="D84" s="63" t="str">
        <f aca="false">IF($C84="","",IFERROR(INDEX(Gantt!$B$4:$B$33,MATCH($C84,Gantt!$C$4:$C$33,0)),""))</f>
        <v/>
      </c>
      <c r="E84" s="70"/>
      <c r="F84" s="70"/>
      <c r="G84" s="90" t="str">
        <f aca="false">IF($A84="","",DATE(YEAR($A84),MONTH($A84),1))</f>
        <v/>
      </c>
      <c r="H84" s="62"/>
    </row>
    <row r="85" customFormat="false" ht="15" hidden="false" customHeight="false" outlineLevel="0" collapsed="false">
      <c r="A85" s="89"/>
      <c r="B85" s="62"/>
      <c r="C85" s="62"/>
      <c r="D85" s="92" t="str">
        <f aca="false">IF($C85="","",IFERROR(INDEX(Gantt!$B$4:$B$33,MATCH($C85,Gantt!$C$4:$C$33,0)),""))</f>
        <v/>
      </c>
      <c r="E85" s="70"/>
      <c r="F85" s="70"/>
      <c r="G85" s="93" t="str">
        <f aca="false">IF($A85="","",DATE(YEAR($A85),MONTH($A85),1))</f>
        <v/>
      </c>
      <c r="H85" s="62"/>
    </row>
    <row r="86" customFormat="false" ht="15" hidden="false" customHeight="false" outlineLevel="0" collapsed="false">
      <c r="A86" s="89"/>
      <c r="B86" s="62"/>
      <c r="C86" s="62"/>
      <c r="D86" s="63" t="str">
        <f aca="false">IF($C86="","",IFERROR(INDEX(Gantt!$B$4:$B$33,MATCH($C86,Gantt!$C$4:$C$33,0)),""))</f>
        <v/>
      </c>
      <c r="E86" s="70"/>
      <c r="F86" s="70"/>
      <c r="G86" s="90" t="str">
        <f aca="false">IF($A86="","",DATE(YEAR($A86),MONTH($A86),1))</f>
        <v/>
      </c>
      <c r="H86" s="62"/>
    </row>
    <row r="87" customFormat="false" ht="15" hidden="false" customHeight="false" outlineLevel="0" collapsed="false">
      <c r="A87" s="89"/>
      <c r="B87" s="62"/>
      <c r="C87" s="62"/>
      <c r="D87" s="92" t="str">
        <f aca="false">IF($C87="","",IFERROR(INDEX(Gantt!$B$4:$B$33,MATCH($C87,Gantt!$C$4:$C$33,0)),""))</f>
        <v/>
      </c>
      <c r="E87" s="70"/>
      <c r="F87" s="70"/>
      <c r="G87" s="93" t="str">
        <f aca="false">IF($A87="","",DATE(YEAR($A87),MONTH($A87),1))</f>
        <v/>
      </c>
      <c r="H87" s="62"/>
    </row>
    <row r="88" customFormat="false" ht="15" hidden="false" customHeight="false" outlineLevel="0" collapsed="false">
      <c r="A88" s="89"/>
      <c r="B88" s="62"/>
      <c r="C88" s="62"/>
      <c r="D88" s="63" t="str">
        <f aca="false">IF($C88="","",IFERROR(INDEX(Gantt!$B$4:$B$33,MATCH($C88,Gantt!$C$4:$C$33,0)),""))</f>
        <v/>
      </c>
      <c r="E88" s="70"/>
      <c r="F88" s="70"/>
      <c r="G88" s="90" t="str">
        <f aca="false">IF($A88="","",DATE(YEAR($A88),MONTH($A88),1))</f>
        <v/>
      </c>
      <c r="H88" s="62"/>
    </row>
    <row r="89" customFormat="false" ht="15" hidden="false" customHeight="false" outlineLevel="0" collapsed="false">
      <c r="A89" s="89"/>
      <c r="B89" s="62"/>
      <c r="C89" s="62"/>
      <c r="D89" s="92" t="str">
        <f aca="false">IF($C89="","",IFERROR(INDEX(Gantt!$B$4:$B$33,MATCH($C89,Gantt!$C$4:$C$33,0)),""))</f>
        <v/>
      </c>
      <c r="E89" s="70"/>
      <c r="F89" s="70"/>
      <c r="G89" s="93" t="str">
        <f aca="false">IF($A89="","",DATE(YEAR($A89),MONTH($A89),1))</f>
        <v/>
      </c>
      <c r="H89" s="62"/>
    </row>
    <row r="90" customFormat="false" ht="15" hidden="false" customHeight="false" outlineLevel="0" collapsed="false">
      <c r="A90" s="89"/>
      <c r="B90" s="62"/>
      <c r="C90" s="62"/>
      <c r="D90" s="63" t="str">
        <f aca="false">IF($C90="","",IFERROR(INDEX(Gantt!$B$4:$B$33,MATCH($C90,Gantt!$C$4:$C$33,0)),""))</f>
        <v/>
      </c>
      <c r="E90" s="70"/>
      <c r="F90" s="70"/>
      <c r="G90" s="90" t="str">
        <f aca="false">IF($A90="","",DATE(YEAR($A90),MONTH($A90),1))</f>
        <v/>
      </c>
      <c r="H90" s="62"/>
    </row>
    <row r="91" customFormat="false" ht="15" hidden="false" customHeight="false" outlineLevel="0" collapsed="false">
      <c r="A91" s="89"/>
      <c r="B91" s="62"/>
      <c r="C91" s="62"/>
      <c r="D91" s="92" t="str">
        <f aca="false">IF($C91="","",IFERROR(INDEX(Gantt!$B$4:$B$33,MATCH($C91,Gantt!$C$4:$C$33,0)),""))</f>
        <v/>
      </c>
      <c r="E91" s="70"/>
      <c r="F91" s="70"/>
      <c r="G91" s="93" t="str">
        <f aca="false">IF($A91="","",DATE(YEAR($A91),MONTH($A91),1))</f>
        <v/>
      </c>
      <c r="H91" s="62"/>
    </row>
    <row r="92" customFormat="false" ht="15" hidden="false" customHeight="false" outlineLevel="0" collapsed="false">
      <c r="A92" s="89"/>
      <c r="B92" s="62"/>
      <c r="C92" s="62"/>
      <c r="D92" s="63" t="str">
        <f aca="false">IF($C92="","",IFERROR(INDEX(Gantt!$B$4:$B$33,MATCH($C92,Gantt!$C$4:$C$33,0)),""))</f>
        <v/>
      </c>
      <c r="E92" s="70"/>
      <c r="F92" s="70"/>
      <c r="G92" s="90" t="str">
        <f aca="false">IF($A92="","",DATE(YEAR($A92),MONTH($A92),1))</f>
        <v/>
      </c>
      <c r="H92" s="62"/>
    </row>
    <row r="93" customFormat="false" ht="15" hidden="false" customHeight="false" outlineLevel="0" collapsed="false">
      <c r="A93" s="89"/>
      <c r="B93" s="62"/>
      <c r="C93" s="62"/>
      <c r="D93" s="92" t="str">
        <f aca="false">IF($C93="","",IFERROR(INDEX(Gantt!$B$4:$B$33,MATCH($C93,Gantt!$C$4:$C$33,0)),""))</f>
        <v/>
      </c>
      <c r="E93" s="70"/>
      <c r="F93" s="70"/>
      <c r="G93" s="93" t="str">
        <f aca="false">IF($A93="","",DATE(YEAR($A93),MONTH($A93),1))</f>
        <v/>
      </c>
      <c r="H93" s="62"/>
    </row>
    <row r="94" customFormat="false" ht="15" hidden="false" customHeight="false" outlineLevel="0" collapsed="false">
      <c r="A94" s="89"/>
      <c r="B94" s="62"/>
      <c r="C94" s="62"/>
      <c r="D94" s="63" t="str">
        <f aca="false">IF($C94="","",IFERROR(INDEX(Gantt!$B$4:$B$33,MATCH($C94,Gantt!$C$4:$C$33,0)),""))</f>
        <v/>
      </c>
      <c r="E94" s="70"/>
      <c r="F94" s="70"/>
      <c r="G94" s="90" t="str">
        <f aca="false">IF($A94="","",DATE(YEAR($A94),MONTH($A94),1))</f>
        <v/>
      </c>
      <c r="H94" s="62"/>
    </row>
    <row r="95" customFormat="false" ht="15" hidden="false" customHeight="false" outlineLevel="0" collapsed="false">
      <c r="A95" s="89"/>
      <c r="B95" s="62"/>
      <c r="C95" s="62"/>
      <c r="D95" s="92" t="str">
        <f aca="false">IF($C95="","",IFERROR(INDEX(Gantt!$B$4:$B$33,MATCH($C95,Gantt!$C$4:$C$33,0)),""))</f>
        <v/>
      </c>
      <c r="E95" s="70"/>
      <c r="F95" s="70"/>
      <c r="G95" s="93" t="str">
        <f aca="false">IF($A95="","",DATE(YEAR($A95),MONTH($A95),1))</f>
        <v/>
      </c>
      <c r="H95" s="62"/>
    </row>
    <row r="96" customFormat="false" ht="15" hidden="false" customHeight="false" outlineLevel="0" collapsed="false">
      <c r="A96" s="89"/>
      <c r="B96" s="62"/>
      <c r="C96" s="62"/>
      <c r="D96" s="63" t="str">
        <f aca="false">IF($C96="","",IFERROR(INDEX(Gantt!$B$4:$B$33,MATCH($C96,Gantt!$C$4:$C$33,0)),""))</f>
        <v/>
      </c>
      <c r="E96" s="70"/>
      <c r="F96" s="70"/>
      <c r="G96" s="90" t="str">
        <f aca="false">IF($A96="","",DATE(YEAR($A96),MONTH($A96),1))</f>
        <v/>
      </c>
      <c r="H96" s="62"/>
    </row>
    <row r="97" customFormat="false" ht="15" hidden="false" customHeight="false" outlineLevel="0" collapsed="false">
      <c r="A97" s="89"/>
      <c r="B97" s="62"/>
      <c r="C97" s="62"/>
      <c r="D97" s="92" t="str">
        <f aca="false">IF($C97="","",IFERROR(INDEX(Gantt!$B$4:$B$33,MATCH($C97,Gantt!$C$4:$C$33,0)),""))</f>
        <v/>
      </c>
      <c r="E97" s="70"/>
      <c r="F97" s="70"/>
      <c r="G97" s="93" t="str">
        <f aca="false">IF($A97="","",DATE(YEAR($A97),MONTH($A97),1))</f>
        <v/>
      </c>
      <c r="H97" s="62"/>
    </row>
    <row r="98" customFormat="false" ht="15" hidden="false" customHeight="false" outlineLevel="0" collapsed="false">
      <c r="A98" s="89"/>
      <c r="B98" s="62"/>
      <c r="C98" s="62"/>
      <c r="D98" s="63" t="str">
        <f aca="false">IF($C98="","",IFERROR(INDEX(Gantt!$B$4:$B$33,MATCH($C98,Gantt!$C$4:$C$33,0)),""))</f>
        <v/>
      </c>
      <c r="E98" s="70"/>
      <c r="F98" s="70"/>
      <c r="G98" s="90" t="str">
        <f aca="false">IF($A98="","",DATE(YEAR($A98),MONTH($A98),1))</f>
        <v/>
      </c>
      <c r="H98" s="62"/>
    </row>
    <row r="99" customFormat="false" ht="15" hidden="false" customHeight="false" outlineLevel="0" collapsed="false">
      <c r="A99" s="89"/>
      <c r="B99" s="62"/>
      <c r="C99" s="62"/>
      <c r="D99" s="92" t="str">
        <f aca="false">IF($C99="","",IFERROR(INDEX(Gantt!$B$4:$B$33,MATCH($C99,Gantt!$C$4:$C$33,0)),""))</f>
        <v/>
      </c>
      <c r="E99" s="70"/>
      <c r="F99" s="70"/>
      <c r="G99" s="93" t="str">
        <f aca="false">IF($A99="","",DATE(YEAR($A99),MONTH($A99),1))</f>
        <v/>
      </c>
      <c r="H99" s="62"/>
    </row>
    <row r="100" customFormat="false" ht="15" hidden="false" customHeight="false" outlineLevel="0" collapsed="false">
      <c r="A100" s="89"/>
      <c r="B100" s="62"/>
      <c r="C100" s="62"/>
      <c r="D100" s="63" t="str">
        <f aca="false">IF($C100="","",IFERROR(INDEX(Gantt!$B$4:$B$33,MATCH($C100,Gantt!$C$4:$C$33,0)),""))</f>
        <v/>
      </c>
      <c r="E100" s="70"/>
      <c r="F100" s="70"/>
      <c r="G100" s="90" t="str">
        <f aca="false">IF($A100="","",DATE(YEAR($A100),MONTH($A100),1))</f>
        <v/>
      </c>
      <c r="H100" s="62"/>
    </row>
    <row r="101" customFormat="false" ht="15" hidden="false" customHeight="false" outlineLevel="0" collapsed="false">
      <c r="A101" s="89"/>
      <c r="B101" s="62"/>
      <c r="C101" s="62"/>
      <c r="D101" s="92" t="str">
        <f aca="false">IF($C101="","",IFERROR(INDEX(Gantt!$B$4:$B$33,MATCH($C101,Gantt!$C$4:$C$33,0)),""))</f>
        <v/>
      </c>
      <c r="E101" s="70"/>
      <c r="F101" s="70"/>
      <c r="G101" s="93" t="str">
        <f aca="false">IF($A101="","",DATE(YEAR($A101),MONTH($A101),1))</f>
        <v/>
      </c>
      <c r="H101" s="62"/>
    </row>
    <row r="102" customFormat="false" ht="15" hidden="false" customHeight="false" outlineLevel="0" collapsed="false">
      <c r="A102" s="89"/>
      <c r="B102" s="62"/>
      <c r="C102" s="62"/>
      <c r="D102" s="63" t="str">
        <f aca="false">IF($C102="","",IFERROR(INDEX(Gantt!$B$4:$B$33,MATCH($C102,Gantt!$C$4:$C$33,0)),""))</f>
        <v/>
      </c>
      <c r="E102" s="70"/>
      <c r="F102" s="70"/>
      <c r="G102" s="90" t="str">
        <f aca="false">IF($A102="","",DATE(YEAR($A102),MONTH($A102),1))</f>
        <v/>
      </c>
      <c r="H102" s="62"/>
    </row>
    <row r="103" customFormat="false" ht="15" hidden="false" customHeight="false" outlineLevel="0" collapsed="false">
      <c r="A103" s="89"/>
      <c r="B103" s="62"/>
      <c r="C103" s="62"/>
      <c r="D103" s="92" t="str">
        <f aca="false">IF($C103="","",IFERROR(INDEX(Gantt!$B$4:$B$33,MATCH($C103,Gantt!$C$4:$C$33,0)),""))</f>
        <v/>
      </c>
      <c r="E103" s="70"/>
      <c r="F103" s="70"/>
      <c r="G103" s="93" t="str">
        <f aca="false">IF($A103="","",DATE(YEAR($A103),MONTH($A103),1))</f>
        <v/>
      </c>
      <c r="H103" s="62"/>
    </row>
    <row r="104" customFormat="false" ht="15" hidden="false" customHeight="false" outlineLevel="0" collapsed="false">
      <c r="A104" s="89"/>
      <c r="B104" s="62"/>
      <c r="C104" s="62"/>
      <c r="D104" s="63" t="str">
        <f aca="false">IF($C104="","",IFERROR(INDEX(Gantt!$B$4:$B$33,MATCH($C104,Gantt!$C$4:$C$33,0)),""))</f>
        <v/>
      </c>
      <c r="E104" s="70"/>
      <c r="F104" s="70"/>
      <c r="G104" s="90" t="str">
        <f aca="false">IF($A104="","",DATE(YEAR($A104),MONTH($A104),1))</f>
        <v/>
      </c>
      <c r="H104" s="62"/>
    </row>
    <row r="105" customFormat="false" ht="15" hidden="false" customHeight="false" outlineLevel="0" collapsed="false">
      <c r="A105" s="89"/>
      <c r="B105" s="62"/>
      <c r="C105" s="62"/>
      <c r="D105" s="92" t="str">
        <f aca="false">IF($C105="","",IFERROR(INDEX(Gantt!$B$4:$B$33,MATCH($C105,Gantt!$C$4:$C$33,0)),""))</f>
        <v/>
      </c>
      <c r="E105" s="70"/>
      <c r="F105" s="70"/>
      <c r="G105" s="93" t="str">
        <f aca="false">IF($A105="","",DATE(YEAR($A105),MONTH($A105),1))</f>
        <v/>
      </c>
      <c r="H105" s="62"/>
    </row>
    <row r="106" customFormat="false" ht="15" hidden="false" customHeight="false" outlineLevel="0" collapsed="false">
      <c r="A106" s="89"/>
      <c r="B106" s="62"/>
      <c r="C106" s="62"/>
      <c r="D106" s="63" t="str">
        <f aca="false">IF($C106="","",IFERROR(INDEX(Gantt!$B$4:$B$33,MATCH($C106,Gantt!$C$4:$C$33,0)),""))</f>
        <v/>
      </c>
      <c r="E106" s="70"/>
      <c r="F106" s="70"/>
      <c r="G106" s="90" t="str">
        <f aca="false">IF($A106="","",DATE(YEAR($A106),MONTH($A106),1))</f>
        <v/>
      </c>
      <c r="H106" s="62"/>
    </row>
    <row r="107" customFormat="false" ht="15" hidden="false" customHeight="false" outlineLevel="0" collapsed="false">
      <c r="A107" s="89"/>
      <c r="B107" s="62"/>
      <c r="C107" s="62"/>
      <c r="D107" s="92" t="str">
        <f aca="false">IF($C107="","",IFERROR(INDEX(Gantt!$B$4:$B$33,MATCH($C107,Gantt!$C$4:$C$33,0)),""))</f>
        <v/>
      </c>
      <c r="E107" s="70"/>
      <c r="F107" s="70"/>
      <c r="G107" s="93" t="str">
        <f aca="false">IF($A107="","",DATE(YEAR($A107),MONTH($A107),1))</f>
        <v/>
      </c>
      <c r="H107" s="62"/>
    </row>
    <row r="108" customFormat="false" ht="15" hidden="false" customHeight="false" outlineLevel="0" collapsed="false">
      <c r="A108" s="89"/>
      <c r="B108" s="62"/>
      <c r="C108" s="62"/>
      <c r="D108" s="63" t="str">
        <f aca="false">IF($C108="","",IFERROR(INDEX(Gantt!$B$4:$B$33,MATCH($C108,Gantt!$C$4:$C$33,0)),""))</f>
        <v/>
      </c>
      <c r="E108" s="70"/>
      <c r="F108" s="70"/>
      <c r="G108" s="90" t="str">
        <f aca="false">IF($A108="","",DATE(YEAR($A108),MONTH($A108),1))</f>
        <v/>
      </c>
      <c r="H108" s="62"/>
    </row>
    <row r="109" customFormat="false" ht="15" hidden="false" customHeight="false" outlineLevel="0" collapsed="false">
      <c r="A109" s="89"/>
      <c r="B109" s="62"/>
      <c r="C109" s="62"/>
      <c r="D109" s="92" t="str">
        <f aca="false">IF($C109="","",IFERROR(INDEX(Gantt!$B$4:$B$33,MATCH($C109,Gantt!$C$4:$C$33,0)),""))</f>
        <v/>
      </c>
      <c r="E109" s="70"/>
      <c r="F109" s="70"/>
      <c r="G109" s="93" t="str">
        <f aca="false">IF($A109="","",DATE(YEAR($A109),MONTH($A109),1))</f>
        <v/>
      </c>
      <c r="H109" s="62"/>
    </row>
    <row r="110" customFormat="false" ht="15" hidden="false" customHeight="false" outlineLevel="0" collapsed="false">
      <c r="A110" s="89"/>
      <c r="B110" s="62"/>
      <c r="C110" s="62"/>
      <c r="D110" s="63" t="str">
        <f aca="false">IF($C110="","",IFERROR(INDEX(Gantt!$B$4:$B$33,MATCH($C110,Gantt!$C$4:$C$33,0)),""))</f>
        <v/>
      </c>
      <c r="E110" s="70"/>
      <c r="F110" s="70"/>
      <c r="G110" s="90" t="str">
        <f aca="false">IF($A110="","",DATE(YEAR($A110),MONTH($A110),1))</f>
        <v/>
      </c>
      <c r="H110" s="62"/>
    </row>
    <row r="111" customFormat="false" ht="15" hidden="false" customHeight="false" outlineLevel="0" collapsed="false">
      <c r="A111" s="89"/>
      <c r="B111" s="62"/>
      <c r="C111" s="62"/>
      <c r="D111" s="92" t="str">
        <f aca="false">IF($C111="","",IFERROR(INDEX(Gantt!$B$4:$B$33,MATCH($C111,Gantt!$C$4:$C$33,0)),""))</f>
        <v/>
      </c>
      <c r="E111" s="70"/>
      <c r="F111" s="70"/>
      <c r="G111" s="93" t="str">
        <f aca="false">IF($A111="","",DATE(YEAR($A111),MONTH($A111),1))</f>
        <v/>
      </c>
      <c r="H111" s="62"/>
    </row>
    <row r="112" customFormat="false" ht="15" hidden="false" customHeight="false" outlineLevel="0" collapsed="false">
      <c r="A112" s="89"/>
      <c r="B112" s="62"/>
      <c r="C112" s="62"/>
      <c r="D112" s="63" t="str">
        <f aca="false">IF($C112="","",IFERROR(INDEX(Gantt!$B$4:$B$33,MATCH($C112,Gantt!$C$4:$C$33,0)),""))</f>
        <v/>
      </c>
      <c r="E112" s="70"/>
      <c r="F112" s="70"/>
      <c r="G112" s="90" t="str">
        <f aca="false">IF($A112="","",DATE(YEAR($A112),MONTH($A112),1))</f>
        <v/>
      </c>
      <c r="H112" s="62"/>
    </row>
    <row r="113" customFormat="false" ht="15" hidden="false" customHeight="false" outlineLevel="0" collapsed="false">
      <c r="A113" s="89"/>
      <c r="B113" s="62"/>
      <c r="C113" s="62"/>
      <c r="D113" s="92" t="str">
        <f aca="false">IF($C113="","",IFERROR(INDEX(Gantt!$B$4:$B$33,MATCH($C113,Gantt!$C$4:$C$33,0)),""))</f>
        <v/>
      </c>
      <c r="E113" s="70"/>
      <c r="F113" s="70"/>
      <c r="G113" s="93" t="str">
        <f aca="false">IF($A113="","",DATE(YEAR($A113),MONTH($A113),1))</f>
        <v/>
      </c>
      <c r="H113" s="62"/>
    </row>
    <row r="114" customFormat="false" ht="15" hidden="false" customHeight="false" outlineLevel="0" collapsed="false">
      <c r="A114" s="89"/>
      <c r="B114" s="62"/>
      <c r="C114" s="62"/>
      <c r="D114" s="63" t="str">
        <f aca="false">IF($C114="","",IFERROR(INDEX(Gantt!$B$4:$B$33,MATCH($C114,Gantt!$C$4:$C$33,0)),""))</f>
        <v/>
      </c>
      <c r="E114" s="70"/>
      <c r="F114" s="70"/>
      <c r="G114" s="90" t="str">
        <f aca="false">IF($A114="","",DATE(YEAR($A114),MONTH($A114),1))</f>
        <v/>
      </c>
      <c r="H114" s="62"/>
    </row>
    <row r="115" customFormat="false" ht="15" hidden="false" customHeight="false" outlineLevel="0" collapsed="false">
      <c r="A115" s="89"/>
      <c r="B115" s="62"/>
      <c r="C115" s="62"/>
      <c r="D115" s="92" t="str">
        <f aca="false">IF($C115="","",IFERROR(INDEX(Gantt!$B$4:$B$33,MATCH($C115,Gantt!$C$4:$C$33,0)),""))</f>
        <v/>
      </c>
      <c r="E115" s="70"/>
      <c r="F115" s="70"/>
      <c r="G115" s="93" t="str">
        <f aca="false">IF($A115="","",DATE(YEAR($A115),MONTH($A115),1))</f>
        <v/>
      </c>
      <c r="H115" s="62"/>
    </row>
    <row r="116" customFormat="false" ht="15" hidden="false" customHeight="false" outlineLevel="0" collapsed="false">
      <c r="A116" s="89"/>
      <c r="B116" s="62"/>
      <c r="C116" s="62"/>
      <c r="D116" s="63" t="str">
        <f aca="false">IF($C116="","",IFERROR(INDEX(Gantt!$B$4:$B$33,MATCH($C116,Gantt!$C$4:$C$33,0)),""))</f>
        <v/>
      </c>
      <c r="E116" s="70"/>
      <c r="F116" s="70"/>
      <c r="G116" s="90" t="str">
        <f aca="false">IF($A116="","",DATE(YEAR($A116),MONTH($A116),1))</f>
        <v/>
      </c>
      <c r="H116" s="62"/>
    </row>
    <row r="117" customFormat="false" ht="15" hidden="false" customHeight="false" outlineLevel="0" collapsed="false">
      <c r="A117" s="89"/>
      <c r="B117" s="62"/>
      <c r="C117" s="62"/>
      <c r="D117" s="92" t="str">
        <f aca="false">IF($C117="","",IFERROR(INDEX(Gantt!$B$4:$B$33,MATCH($C117,Gantt!$C$4:$C$33,0)),""))</f>
        <v/>
      </c>
      <c r="E117" s="70"/>
      <c r="F117" s="70"/>
      <c r="G117" s="93" t="str">
        <f aca="false">IF($A117="","",DATE(YEAR($A117),MONTH($A117),1))</f>
        <v/>
      </c>
      <c r="H117" s="62"/>
    </row>
    <row r="118" customFormat="false" ht="15" hidden="false" customHeight="false" outlineLevel="0" collapsed="false">
      <c r="A118" s="89"/>
      <c r="B118" s="62"/>
      <c r="C118" s="62"/>
      <c r="D118" s="63" t="str">
        <f aca="false">IF($C118="","",IFERROR(INDEX(Gantt!$B$4:$B$33,MATCH($C118,Gantt!$C$4:$C$33,0)),""))</f>
        <v/>
      </c>
      <c r="E118" s="70"/>
      <c r="F118" s="70"/>
      <c r="G118" s="90" t="str">
        <f aca="false">IF($A118="","",DATE(YEAR($A118),MONTH($A118),1))</f>
        <v/>
      </c>
      <c r="H118" s="62"/>
    </row>
    <row r="119" customFormat="false" ht="15" hidden="false" customHeight="false" outlineLevel="0" collapsed="false">
      <c r="A119" s="89"/>
      <c r="B119" s="62"/>
      <c r="C119" s="62"/>
      <c r="D119" s="92" t="str">
        <f aca="false">IF($C119="","",IFERROR(INDEX(Gantt!$B$4:$B$33,MATCH($C119,Gantt!$C$4:$C$33,0)),""))</f>
        <v/>
      </c>
      <c r="E119" s="70"/>
      <c r="F119" s="70"/>
      <c r="G119" s="93" t="str">
        <f aca="false">IF($A119="","",DATE(YEAR($A119),MONTH($A119),1))</f>
        <v/>
      </c>
      <c r="H119" s="62"/>
    </row>
    <row r="120" customFormat="false" ht="15" hidden="false" customHeight="false" outlineLevel="0" collapsed="false">
      <c r="A120" s="89"/>
      <c r="B120" s="62"/>
      <c r="C120" s="62"/>
      <c r="D120" s="63" t="str">
        <f aca="false">IF($C120="","",IFERROR(INDEX(Gantt!$B$4:$B$33,MATCH($C120,Gantt!$C$4:$C$33,0)),""))</f>
        <v/>
      </c>
      <c r="E120" s="70"/>
      <c r="F120" s="70"/>
      <c r="G120" s="90" t="str">
        <f aca="false">IF($A120="","",DATE(YEAR($A120),MONTH($A120),1))</f>
        <v/>
      </c>
      <c r="H120" s="62"/>
    </row>
    <row r="121" customFormat="false" ht="15" hidden="false" customHeight="false" outlineLevel="0" collapsed="false">
      <c r="A121" s="89"/>
      <c r="B121" s="62"/>
      <c r="C121" s="62"/>
      <c r="D121" s="92" t="str">
        <f aca="false">IF($C121="","",IFERROR(INDEX(Gantt!$B$4:$B$33,MATCH($C121,Gantt!$C$4:$C$33,0)),""))</f>
        <v/>
      </c>
      <c r="E121" s="70"/>
      <c r="F121" s="70"/>
      <c r="G121" s="93" t="str">
        <f aca="false">IF($A121="","",DATE(YEAR($A121),MONTH($A121),1))</f>
        <v/>
      </c>
      <c r="H121" s="62"/>
    </row>
    <row r="122" customFormat="false" ht="15" hidden="false" customHeight="false" outlineLevel="0" collapsed="false">
      <c r="A122" s="89"/>
      <c r="B122" s="62"/>
      <c r="C122" s="62"/>
      <c r="D122" s="63" t="str">
        <f aca="false">IF($C122="","",IFERROR(INDEX(Gantt!$B$4:$B$33,MATCH($C122,Gantt!$C$4:$C$33,0)),""))</f>
        <v/>
      </c>
      <c r="E122" s="70"/>
      <c r="F122" s="70"/>
      <c r="G122" s="90" t="str">
        <f aca="false">IF($A122="","",DATE(YEAR($A122),MONTH($A122),1))</f>
        <v/>
      </c>
      <c r="H122" s="62"/>
    </row>
    <row r="123" customFormat="false" ht="15" hidden="false" customHeight="false" outlineLevel="0" collapsed="false">
      <c r="A123" s="89"/>
      <c r="B123" s="62"/>
      <c r="C123" s="62"/>
      <c r="D123" s="92" t="str">
        <f aca="false">IF($C123="","",IFERROR(INDEX(Gantt!$B$4:$B$33,MATCH($C123,Gantt!$C$4:$C$33,0)),""))</f>
        <v/>
      </c>
      <c r="E123" s="70"/>
      <c r="F123" s="70"/>
      <c r="G123" s="93" t="str">
        <f aca="false">IF($A123="","",DATE(YEAR($A123),MONTH($A123),1))</f>
        <v/>
      </c>
      <c r="H123" s="62"/>
    </row>
    <row r="124" customFormat="false" ht="15" hidden="false" customHeight="false" outlineLevel="0" collapsed="false">
      <c r="A124" s="89"/>
      <c r="B124" s="62"/>
      <c r="C124" s="62"/>
      <c r="D124" s="63" t="str">
        <f aca="false">IF($C124="","",IFERROR(INDEX(Gantt!$B$4:$B$33,MATCH($C124,Gantt!$C$4:$C$33,0)),""))</f>
        <v/>
      </c>
      <c r="E124" s="70"/>
      <c r="F124" s="70"/>
      <c r="G124" s="90" t="str">
        <f aca="false">IF($A124="","",DATE(YEAR($A124),MONTH($A124),1))</f>
        <v/>
      </c>
      <c r="H124" s="62"/>
    </row>
    <row r="125" customFormat="false" ht="15" hidden="false" customHeight="false" outlineLevel="0" collapsed="false">
      <c r="A125" s="89"/>
      <c r="B125" s="62"/>
      <c r="C125" s="62"/>
      <c r="D125" s="92" t="str">
        <f aca="false">IF($C125="","",IFERROR(INDEX(Gantt!$B$4:$B$33,MATCH($C125,Gantt!$C$4:$C$33,0)),""))</f>
        <v/>
      </c>
      <c r="E125" s="70"/>
      <c r="F125" s="70"/>
      <c r="G125" s="93" t="str">
        <f aca="false">IF($A125="","",DATE(YEAR($A125),MONTH($A125),1))</f>
        <v/>
      </c>
      <c r="H125" s="62"/>
    </row>
    <row r="126" customFormat="false" ht="15" hidden="false" customHeight="false" outlineLevel="0" collapsed="false">
      <c r="A126" s="89"/>
      <c r="B126" s="62"/>
      <c r="C126" s="62"/>
      <c r="D126" s="63" t="str">
        <f aca="false">IF($C126="","",IFERROR(INDEX(Gantt!$B$4:$B$33,MATCH($C126,Gantt!$C$4:$C$33,0)),""))</f>
        <v/>
      </c>
      <c r="E126" s="70"/>
      <c r="F126" s="70"/>
      <c r="G126" s="90" t="str">
        <f aca="false">IF($A126="","",DATE(YEAR($A126),MONTH($A126),1))</f>
        <v/>
      </c>
      <c r="H126" s="62"/>
    </row>
    <row r="127" customFormat="false" ht="15" hidden="false" customHeight="false" outlineLevel="0" collapsed="false">
      <c r="A127" s="89"/>
      <c r="B127" s="62"/>
      <c r="C127" s="62"/>
      <c r="D127" s="92" t="str">
        <f aca="false">IF($C127="","",IFERROR(INDEX(Gantt!$B$4:$B$33,MATCH($C127,Gantt!$C$4:$C$33,0)),""))</f>
        <v/>
      </c>
      <c r="E127" s="70"/>
      <c r="F127" s="70"/>
      <c r="G127" s="93" t="str">
        <f aca="false">IF($A127="","",DATE(YEAR($A127),MONTH($A127),1))</f>
        <v/>
      </c>
      <c r="H127" s="62"/>
    </row>
    <row r="128" customFormat="false" ht="15" hidden="false" customHeight="false" outlineLevel="0" collapsed="false">
      <c r="A128" s="89"/>
      <c r="B128" s="62"/>
      <c r="C128" s="62"/>
      <c r="D128" s="63" t="str">
        <f aca="false">IF($C128="","",IFERROR(INDEX(Gantt!$B$4:$B$33,MATCH($C128,Gantt!$C$4:$C$33,0)),""))</f>
        <v/>
      </c>
      <c r="E128" s="70"/>
      <c r="F128" s="70"/>
      <c r="G128" s="90" t="str">
        <f aca="false">IF($A128="","",DATE(YEAR($A128),MONTH($A128),1))</f>
        <v/>
      </c>
      <c r="H128" s="62"/>
    </row>
    <row r="129" customFormat="false" ht="15" hidden="false" customHeight="false" outlineLevel="0" collapsed="false">
      <c r="A129" s="89"/>
      <c r="B129" s="62"/>
      <c r="C129" s="62"/>
      <c r="D129" s="92" t="str">
        <f aca="false">IF($C129="","",IFERROR(INDEX(Gantt!$B$4:$B$33,MATCH($C129,Gantt!$C$4:$C$33,0)),""))</f>
        <v/>
      </c>
      <c r="E129" s="70"/>
      <c r="F129" s="70"/>
      <c r="G129" s="93" t="str">
        <f aca="false">IF($A129="","",DATE(YEAR($A129),MONTH($A129),1))</f>
        <v/>
      </c>
      <c r="H129" s="62"/>
    </row>
    <row r="130" customFormat="false" ht="15" hidden="false" customHeight="false" outlineLevel="0" collapsed="false">
      <c r="A130" s="89"/>
      <c r="B130" s="62"/>
      <c r="C130" s="62"/>
      <c r="D130" s="63" t="str">
        <f aca="false">IF($C130="","",IFERROR(INDEX(Gantt!$B$4:$B$33,MATCH($C130,Gantt!$C$4:$C$33,0)),""))</f>
        <v/>
      </c>
      <c r="E130" s="70"/>
      <c r="F130" s="70"/>
      <c r="G130" s="90" t="str">
        <f aca="false">IF($A130="","",DATE(YEAR($A130),MONTH($A130),1))</f>
        <v/>
      </c>
      <c r="H130" s="62"/>
    </row>
    <row r="131" customFormat="false" ht="15" hidden="false" customHeight="false" outlineLevel="0" collapsed="false">
      <c r="A131" s="89"/>
      <c r="B131" s="62"/>
      <c r="C131" s="62"/>
      <c r="D131" s="92" t="str">
        <f aca="false">IF($C131="","",IFERROR(INDEX(Gantt!$B$4:$B$33,MATCH($C131,Gantt!$C$4:$C$33,0)),""))</f>
        <v/>
      </c>
      <c r="E131" s="70"/>
      <c r="F131" s="70"/>
      <c r="G131" s="93" t="str">
        <f aca="false">IF($A131="","",DATE(YEAR($A131),MONTH($A131),1))</f>
        <v/>
      </c>
      <c r="H131" s="62"/>
    </row>
    <row r="132" customFormat="false" ht="15" hidden="false" customHeight="false" outlineLevel="0" collapsed="false">
      <c r="A132" s="89"/>
      <c r="B132" s="62"/>
      <c r="C132" s="62"/>
      <c r="D132" s="63" t="str">
        <f aca="false">IF($C132="","",IFERROR(INDEX(Gantt!$B$4:$B$33,MATCH($C132,Gantt!$C$4:$C$33,0)),""))</f>
        <v/>
      </c>
      <c r="E132" s="70"/>
      <c r="F132" s="70"/>
      <c r="G132" s="90" t="str">
        <f aca="false">IF($A132="","",DATE(YEAR($A132),MONTH($A132),1))</f>
        <v/>
      </c>
      <c r="H132" s="62"/>
    </row>
    <row r="133" customFormat="false" ht="15" hidden="false" customHeight="false" outlineLevel="0" collapsed="false">
      <c r="A133" s="89"/>
      <c r="B133" s="62"/>
      <c r="C133" s="62"/>
      <c r="D133" s="92" t="str">
        <f aca="false">IF($C133="","",IFERROR(INDEX(Gantt!$B$4:$B$33,MATCH($C133,Gantt!$C$4:$C$33,0)),""))</f>
        <v/>
      </c>
      <c r="E133" s="70"/>
      <c r="F133" s="70"/>
      <c r="G133" s="93" t="str">
        <f aca="false">IF($A133="","",DATE(YEAR($A133),MONTH($A133),1))</f>
        <v/>
      </c>
      <c r="H133" s="62"/>
    </row>
    <row r="134" customFormat="false" ht="15" hidden="false" customHeight="false" outlineLevel="0" collapsed="false">
      <c r="A134" s="89"/>
      <c r="B134" s="62"/>
      <c r="C134" s="62"/>
      <c r="D134" s="63" t="str">
        <f aca="false">IF($C134="","",IFERROR(INDEX(Gantt!$B$4:$B$33,MATCH($C134,Gantt!$C$4:$C$33,0)),""))</f>
        <v/>
      </c>
      <c r="E134" s="70"/>
      <c r="F134" s="70"/>
      <c r="G134" s="90" t="str">
        <f aca="false">IF($A134="","",DATE(YEAR($A134),MONTH($A134),1))</f>
        <v/>
      </c>
      <c r="H134" s="62"/>
    </row>
    <row r="135" customFormat="false" ht="15" hidden="false" customHeight="false" outlineLevel="0" collapsed="false">
      <c r="A135" s="89"/>
      <c r="B135" s="62"/>
      <c r="C135" s="62"/>
      <c r="D135" s="92" t="str">
        <f aca="false">IF($C135="","",IFERROR(INDEX(Gantt!$B$4:$B$33,MATCH($C135,Gantt!$C$4:$C$33,0)),""))</f>
        <v/>
      </c>
      <c r="E135" s="70"/>
      <c r="F135" s="70"/>
      <c r="G135" s="93" t="str">
        <f aca="false">IF($A135="","",DATE(YEAR($A135),MONTH($A135),1))</f>
        <v/>
      </c>
      <c r="H135" s="62"/>
    </row>
    <row r="136" customFormat="false" ht="15" hidden="false" customHeight="false" outlineLevel="0" collapsed="false">
      <c r="A136" s="89"/>
      <c r="B136" s="62"/>
      <c r="C136" s="62"/>
      <c r="D136" s="63" t="str">
        <f aca="false">IF($C136="","",IFERROR(INDEX(Gantt!$B$4:$B$33,MATCH($C136,Gantt!$C$4:$C$33,0)),""))</f>
        <v/>
      </c>
      <c r="E136" s="70"/>
      <c r="F136" s="70"/>
      <c r="G136" s="90" t="str">
        <f aca="false">IF($A136="","",DATE(YEAR($A136),MONTH($A136),1))</f>
        <v/>
      </c>
      <c r="H136" s="62"/>
    </row>
    <row r="137" customFormat="false" ht="15" hidden="false" customHeight="false" outlineLevel="0" collapsed="false">
      <c r="A137" s="89"/>
      <c r="B137" s="62"/>
      <c r="C137" s="62"/>
      <c r="D137" s="92" t="str">
        <f aca="false">IF($C137="","",IFERROR(INDEX(Gantt!$B$4:$B$33,MATCH($C137,Gantt!$C$4:$C$33,0)),""))</f>
        <v/>
      </c>
      <c r="E137" s="70"/>
      <c r="F137" s="70"/>
      <c r="G137" s="93" t="str">
        <f aca="false">IF($A137="","",DATE(YEAR($A137),MONTH($A137),1))</f>
        <v/>
      </c>
      <c r="H137" s="62"/>
    </row>
    <row r="138" customFormat="false" ht="15" hidden="false" customHeight="false" outlineLevel="0" collapsed="false">
      <c r="A138" s="89"/>
      <c r="B138" s="62"/>
      <c r="C138" s="62"/>
      <c r="D138" s="63" t="str">
        <f aca="false">IF($C138="","",IFERROR(INDEX(Gantt!$B$4:$B$33,MATCH($C138,Gantt!$C$4:$C$33,0)),""))</f>
        <v/>
      </c>
      <c r="E138" s="70"/>
      <c r="F138" s="70"/>
      <c r="G138" s="90" t="str">
        <f aca="false">IF($A138="","",DATE(YEAR($A138),MONTH($A138),1))</f>
        <v/>
      </c>
      <c r="H138" s="62"/>
    </row>
    <row r="139" customFormat="false" ht="15" hidden="false" customHeight="false" outlineLevel="0" collapsed="false">
      <c r="A139" s="89"/>
      <c r="B139" s="62"/>
      <c r="C139" s="62"/>
      <c r="D139" s="92" t="str">
        <f aca="false">IF($C139="","",IFERROR(INDEX(Gantt!$B$4:$B$33,MATCH($C139,Gantt!$C$4:$C$33,0)),""))</f>
        <v/>
      </c>
      <c r="E139" s="70"/>
      <c r="F139" s="70"/>
      <c r="G139" s="93" t="str">
        <f aca="false">IF($A139="","",DATE(YEAR($A139),MONTH($A139),1))</f>
        <v/>
      </c>
      <c r="H139" s="62"/>
    </row>
    <row r="140" customFormat="false" ht="15" hidden="false" customHeight="false" outlineLevel="0" collapsed="false">
      <c r="A140" s="89"/>
      <c r="B140" s="62"/>
      <c r="C140" s="62"/>
      <c r="D140" s="63" t="str">
        <f aca="false">IF($C140="","",IFERROR(INDEX(Gantt!$B$4:$B$33,MATCH($C140,Gantt!$C$4:$C$33,0)),""))</f>
        <v/>
      </c>
      <c r="E140" s="70"/>
      <c r="F140" s="70"/>
      <c r="G140" s="90" t="str">
        <f aca="false">IF($A140="","",DATE(YEAR($A140),MONTH($A140),1))</f>
        <v/>
      </c>
      <c r="H140" s="62"/>
    </row>
    <row r="141" customFormat="false" ht="15" hidden="false" customHeight="false" outlineLevel="0" collapsed="false">
      <c r="A141" s="89"/>
      <c r="B141" s="62"/>
      <c r="C141" s="62"/>
      <c r="D141" s="92" t="str">
        <f aca="false">IF($C141="","",IFERROR(INDEX(Gantt!$B$4:$B$33,MATCH($C141,Gantt!$C$4:$C$33,0)),""))</f>
        <v/>
      </c>
      <c r="E141" s="70"/>
      <c r="F141" s="70"/>
      <c r="G141" s="93" t="str">
        <f aca="false">IF($A141="","",DATE(YEAR($A141),MONTH($A141),1))</f>
        <v/>
      </c>
      <c r="H141" s="62"/>
    </row>
    <row r="142" customFormat="false" ht="15" hidden="false" customHeight="false" outlineLevel="0" collapsed="false">
      <c r="A142" s="89"/>
      <c r="B142" s="62"/>
      <c r="C142" s="62"/>
      <c r="D142" s="63" t="str">
        <f aca="false">IF($C142="","",IFERROR(INDEX(Gantt!$B$4:$B$33,MATCH($C142,Gantt!$C$4:$C$33,0)),""))</f>
        <v/>
      </c>
      <c r="E142" s="70"/>
      <c r="F142" s="70"/>
      <c r="G142" s="90" t="str">
        <f aca="false">IF($A142="","",DATE(YEAR($A142),MONTH($A142),1))</f>
        <v/>
      </c>
      <c r="H142" s="62"/>
    </row>
    <row r="143" customFormat="false" ht="15" hidden="false" customHeight="false" outlineLevel="0" collapsed="false">
      <c r="A143" s="89"/>
      <c r="B143" s="62"/>
      <c r="C143" s="62"/>
      <c r="D143" s="92" t="str">
        <f aca="false">IF($C143="","",IFERROR(INDEX(Gantt!$B$4:$B$33,MATCH($C143,Gantt!$C$4:$C$33,0)),""))</f>
        <v/>
      </c>
      <c r="E143" s="70"/>
      <c r="F143" s="70"/>
      <c r="G143" s="93" t="str">
        <f aca="false">IF($A143="","",DATE(YEAR($A143),MONTH($A143),1))</f>
        <v/>
      </c>
      <c r="H143" s="62"/>
    </row>
    <row r="144" customFormat="false" ht="15" hidden="false" customHeight="false" outlineLevel="0" collapsed="false">
      <c r="A144" s="89"/>
      <c r="B144" s="62"/>
      <c r="C144" s="62"/>
      <c r="D144" s="63" t="str">
        <f aca="false">IF($C144="","",IFERROR(INDEX(Gantt!$B$4:$B$33,MATCH($C144,Gantt!$C$4:$C$33,0)),""))</f>
        <v/>
      </c>
      <c r="E144" s="70"/>
      <c r="F144" s="70"/>
      <c r="G144" s="90" t="str">
        <f aca="false">IF($A144="","",DATE(YEAR($A144),MONTH($A144),1))</f>
        <v/>
      </c>
      <c r="H144" s="62"/>
    </row>
    <row r="145" customFormat="false" ht="15" hidden="false" customHeight="false" outlineLevel="0" collapsed="false">
      <c r="A145" s="89"/>
      <c r="B145" s="62"/>
      <c r="C145" s="62"/>
      <c r="D145" s="92" t="str">
        <f aca="false">IF($C145="","",IFERROR(INDEX(Gantt!$B$4:$B$33,MATCH($C145,Gantt!$C$4:$C$33,0)),""))</f>
        <v/>
      </c>
      <c r="E145" s="70"/>
      <c r="F145" s="70"/>
      <c r="G145" s="93" t="str">
        <f aca="false">IF($A145="","",DATE(YEAR($A145),MONTH($A145),1))</f>
        <v/>
      </c>
      <c r="H145" s="62"/>
    </row>
    <row r="146" customFormat="false" ht="15" hidden="false" customHeight="false" outlineLevel="0" collapsed="false">
      <c r="A146" s="89"/>
      <c r="B146" s="62"/>
      <c r="C146" s="62"/>
      <c r="D146" s="63" t="str">
        <f aca="false">IF($C146="","",IFERROR(INDEX(Gantt!$B$4:$B$33,MATCH($C146,Gantt!$C$4:$C$33,0)),""))</f>
        <v/>
      </c>
      <c r="E146" s="70"/>
      <c r="F146" s="70"/>
      <c r="G146" s="90" t="str">
        <f aca="false">IF($A146="","",DATE(YEAR($A146),MONTH($A146),1))</f>
        <v/>
      </c>
      <c r="H146" s="62"/>
    </row>
    <row r="147" customFormat="false" ht="15" hidden="false" customHeight="false" outlineLevel="0" collapsed="false">
      <c r="A147" s="89"/>
      <c r="B147" s="62"/>
      <c r="C147" s="62"/>
      <c r="D147" s="92" t="str">
        <f aca="false">IF($C147="","",IFERROR(INDEX(Gantt!$B$4:$B$33,MATCH($C147,Gantt!$C$4:$C$33,0)),""))</f>
        <v/>
      </c>
      <c r="E147" s="70"/>
      <c r="F147" s="70"/>
      <c r="G147" s="93" t="str">
        <f aca="false">IF($A147="","",DATE(YEAR($A147),MONTH($A147),1))</f>
        <v/>
      </c>
      <c r="H147" s="62"/>
    </row>
    <row r="148" customFormat="false" ht="15" hidden="false" customHeight="false" outlineLevel="0" collapsed="false">
      <c r="A148" s="89"/>
      <c r="B148" s="62"/>
      <c r="C148" s="62"/>
      <c r="D148" s="63" t="str">
        <f aca="false">IF($C148="","",IFERROR(INDEX(Gantt!$B$4:$B$33,MATCH($C148,Gantt!$C$4:$C$33,0)),""))</f>
        <v/>
      </c>
      <c r="E148" s="70"/>
      <c r="F148" s="70"/>
      <c r="G148" s="90" t="str">
        <f aca="false">IF($A148="","",DATE(YEAR($A148),MONTH($A148),1))</f>
        <v/>
      </c>
      <c r="H148" s="62"/>
    </row>
    <row r="149" customFormat="false" ht="15" hidden="false" customHeight="false" outlineLevel="0" collapsed="false">
      <c r="A149" s="89"/>
      <c r="B149" s="62"/>
      <c r="C149" s="62"/>
      <c r="D149" s="92" t="str">
        <f aca="false">IF($C149="","",IFERROR(INDEX(Gantt!$B$4:$B$33,MATCH($C149,Gantt!$C$4:$C$33,0)),""))</f>
        <v/>
      </c>
      <c r="E149" s="70"/>
      <c r="F149" s="70"/>
      <c r="G149" s="93" t="str">
        <f aca="false">IF($A149="","",DATE(YEAR($A149),MONTH($A149),1))</f>
        <v/>
      </c>
      <c r="H149" s="62"/>
    </row>
    <row r="150" customFormat="false" ht="15" hidden="false" customHeight="false" outlineLevel="0" collapsed="false">
      <c r="A150" s="89"/>
      <c r="B150" s="62"/>
      <c r="C150" s="62"/>
      <c r="D150" s="63" t="str">
        <f aca="false">IF($C150="","",IFERROR(INDEX(Gantt!$B$4:$B$33,MATCH($C150,Gantt!$C$4:$C$33,0)),""))</f>
        <v/>
      </c>
      <c r="E150" s="70"/>
      <c r="F150" s="70"/>
      <c r="G150" s="90" t="str">
        <f aca="false">IF($A150="","",DATE(YEAR($A150),MONTH($A150),1))</f>
        <v/>
      </c>
      <c r="H150" s="62"/>
    </row>
    <row r="151" customFormat="false" ht="15" hidden="false" customHeight="false" outlineLevel="0" collapsed="false">
      <c r="A151" s="89"/>
      <c r="B151" s="62"/>
      <c r="C151" s="62"/>
      <c r="D151" s="92" t="str">
        <f aca="false">IF($C151="","",IFERROR(INDEX(Gantt!$B$4:$B$33,MATCH($C151,Gantt!$C$4:$C$33,0)),""))</f>
        <v/>
      </c>
      <c r="E151" s="70"/>
      <c r="F151" s="70"/>
      <c r="G151" s="93" t="str">
        <f aca="false">IF($A151="","",DATE(YEAR($A151),MONTH($A151),1))</f>
        <v/>
      </c>
      <c r="H151" s="62"/>
    </row>
    <row r="152" customFormat="false" ht="15" hidden="false" customHeight="false" outlineLevel="0" collapsed="false">
      <c r="A152" s="89"/>
      <c r="B152" s="62"/>
      <c r="C152" s="62"/>
      <c r="D152" s="63" t="str">
        <f aca="false">IF($C152="","",IFERROR(INDEX(Gantt!$B$4:$B$33,MATCH($C152,Gantt!$C$4:$C$33,0)),""))</f>
        <v/>
      </c>
      <c r="E152" s="70"/>
      <c r="F152" s="70"/>
      <c r="G152" s="90" t="str">
        <f aca="false">IF($A152="","",DATE(YEAR($A152),MONTH($A152),1))</f>
        <v/>
      </c>
      <c r="H152" s="62"/>
    </row>
    <row r="153" customFormat="false" ht="15" hidden="false" customHeight="false" outlineLevel="0" collapsed="false">
      <c r="A153" s="89"/>
      <c r="B153" s="62"/>
      <c r="C153" s="62"/>
      <c r="D153" s="92" t="str">
        <f aca="false">IF($C153="","",IFERROR(INDEX(Gantt!$B$4:$B$33,MATCH($C153,Gantt!$C$4:$C$33,0)),""))</f>
        <v/>
      </c>
      <c r="E153" s="70"/>
      <c r="F153" s="70"/>
      <c r="G153" s="93" t="str">
        <f aca="false">IF($A153="","",DATE(YEAR($A153),MONTH($A153),1))</f>
        <v/>
      </c>
      <c r="H153" s="62"/>
    </row>
    <row r="154" customFormat="false" ht="15" hidden="false" customHeight="false" outlineLevel="0" collapsed="false">
      <c r="A154" s="89"/>
      <c r="B154" s="62"/>
      <c r="C154" s="62"/>
      <c r="D154" s="63" t="str">
        <f aca="false">IF($C154="","",IFERROR(INDEX(Gantt!$B$4:$B$33,MATCH($C154,Gantt!$C$4:$C$33,0)),""))</f>
        <v/>
      </c>
      <c r="E154" s="70"/>
      <c r="F154" s="70"/>
      <c r="G154" s="90" t="str">
        <f aca="false">IF($A154="","",DATE(YEAR($A154),MONTH($A154),1))</f>
        <v/>
      </c>
      <c r="H154" s="62"/>
    </row>
    <row r="155" customFormat="false" ht="15" hidden="false" customHeight="false" outlineLevel="0" collapsed="false">
      <c r="A155" s="89"/>
      <c r="B155" s="62"/>
      <c r="C155" s="62"/>
      <c r="D155" s="92" t="str">
        <f aca="false">IF($C155="","",IFERROR(INDEX(Gantt!$B$4:$B$33,MATCH($C155,Gantt!$C$4:$C$33,0)),""))</f>
        <v/>
      </c>
      <c r="E155" s="70"/>
      <c r="F155" s="70"/>
      <c r="G155" s="93" t="str">
        <f aca="false">IF($A155="","",DATE(YEAR($A155),MONTH($A155),1))</f>
        <v/>
      </c>
      <c r="H155" s="62"/>
    </row>
    <row r="156" customFormat="false" ht="15" hidden="false" customHeight="false" outlineLevel="0" collapsed="false">
      <c r="A156" s="89"/>
      <c r="B156" s="62"/>
      <c r="C156" s="62"/>
      <c r="D156" s="63" t="str">
        <f aca="false">IF($C156="","",IFERROR(INDEX(Gantt!$B$4:$B$33,MATCH($C156,Gantt!$C$4:$C$33,0)),""))</f>
        <v/>
      </c>
      <c r="E156" s="70"/>
      <c r="F156" s="70"/>
      <c r="G156" s="90" t="str">
        <f aca="false">IF($A156="","",DATE(YEAR($A156),MONTH($A156),1))</f>
        <v/>
      </c>
      <c r="H156" s="62"/>
    </row>
    <row r="157" customFormat="false" ht="15" hidden="false" customHeight="false" outlineLevel="0" collapsed="false">
      <c r="A157" s="89"/>
      <c r="B157" s="62"/>
      <c r="C157" s="62"/>
      <c r="D157" s="92" t="str">
        <f aca="false">IF($C157="","",IFERROR(INDEX(Gantt!$B$4:$B$33,MATCH($C157,Gantt!$C$4:$C$33,0)),""))</f>
        <v/>
      </c>
      <c r="E157" s="70"/>
      <c r="F157" s="70"/>
      <c r="G157" s="93" t="str">
        <f aca="false">IF($A157="","",DATE(YEAR($A157),MONTH($A157),1))</f>
        <v/>
      </c>
      <c r="H157" s="62"/>
    </row>
    <row r="158" customFormat="false" ht="15" hidden="false" customHeight="false" outlineLevel="0" collapsed="false">
      <c r="A158" s="89"/>
      <c r="B158" s="62"/>
      <c r="C158" s="62"/>
      <c r="D158" s="63" t="str">
        <f aca="false">IF($C158="","",IFERROR(INDEX(Gantt!$B$4:$B$33,MATCH($C158,Gantt!$C$4:$C$33,0)),""))</f>
        <v/>
      </c>
      <c r="E158" s="70"/>
      <c r="F158" s="70"/>
      <c r="G158" s="90" t="str">
        <f aca="false">IF($A158="","",DATE(YEAR($A158),MONTH($A158),1))</f>
        <v/>
      </c>
      <c r="H158" s="62"/>
    </row>
    <row r="159" customFormat="false" ht="15" hidden="false" customHeight="false" outlineLevel="0" collapsed="false">
      <c r="A159" s="89"/>
      <c r="B159" s="62"/>
      <c r="C159" s="62"/>
      <c r="D159" s="92" t="str">
        <f aca="false">IF($C159="","",IFERROR(INDEX(Gantt!$B$4:$B$33,MATCH($C159,Gantt!$C$4:$C$33,0)),""))</f>
        <v/>
      </c>
      <c r="E159" s="70"/>
      <c r="F159" s="70"/>
      <c r="G159" s="93" t="str">
        <f aca="false">IF($A159="","",DATE(YEAR($A159),MONTH($A159),1))</f>
        <v/>
      </c>
      <c r="H159" s="62"/>
    </row>
    <row r="160" customFormat="false" ht="15" hidden="false" customHeight="false" outlineLevel="0" collapsed="false">
      <c r="A160" s="89"/>
      <c r="B160" s="62"/>
      <c r="C160" s="62"/>
      <c r="D160" s="63" t="str">
        <f aca="false">IF($C160="","",IFERROR(INDEX(Gantt!$B$4:$B$33,MATCH($C160,Gantt!$C$4:$C$33,0)),""))</f>
        <v/>
      </c>
      <c r="E160" s="70"/>
      <c r="F160" s="70"/>
      <c r="G160" s="90" t="str">
        <f aca="false">IF($A160="","",DATE(YEAR($A160),MONTH($A160),1))</f>
        <v/>
      </c>
      <c r="H160" s="62"/>
    </row>
    <row r="161" customFormat="false" ht="15" hidden="false" customHeight="false" outlineLevel="0" collapsed="false">
      <c r="A161" s="89"/>
      <c r="B161" s="62"/>
      <c r="C161" s="62"/>
      <c r="D161" s="92" t="str">
        <f aca="false">IF($C161="","",IFERROR(INDEX(Gantt!$B$4:$B$33,MATCH($C161,Gantt!$C$4:$C$33,0)),""))</f>
        <v/>
      </c>
      <c r="E161" s="70"/>
      <c r="F161" s="70"/>
      <c r="G161" s="93" t="str">
        <f aca="false">IF($A161="","",DATE(YEAR($A161),MONTH($A161),1))</f>
        <v/>
      </c>
      <c r="H161" s="62"/>
    </row>
    <row r="162" customFormat="false" ht="15" hidden="false" customHeight="false" outlineLevel="0" collapsed="false">
      <c r="A162" s="89"/>
      <c r="B162" s="62"/>
      <c r="C162" s="62"/>
      <c r="D162" s="63" t="str">
        <f aca="false">IF($C162="","",IFERROR(INDEX(Gantt!$B$4:$B$33,MATCH($C162,Gantt!$C$4:$C$33,0)),""))</f>
        <v/>
      </c>
      <c r="E162" s="70"/>
      <c r="F162" s="70"/>
      <c r="G162" s="90" t="str">
        <f aca="false">IF($A162="","",DATE(YEAR($A162),MONTH($A162),1))</f>
        <v/>
      </c>
      <c r="H162" s="62"/>
    </row>
    <row r="163" customFormat="false" ht="15" hidden="false" customHeight="false" outlineLevel="0" collapsed="false">
      <c r="A163" s="89"/>
      <c r="B163" s="62"/>
      <c r="C163" s="62"/>
      <c r="D163" s="92" t="str">
        <f aca="false">IF($C163="","",IFERROR(INDEX(Gantt!$B$4:$B$33,MATCH($C163,Gantt!$C$4:$C$33,0)),""))</f>
        <v/>
      </c>
      <c r="E163" s="70"/>
      <c r="F163" s="70"/>
      <c r="G163" s="93" t="str">
        <f aca="false">IF($A163="","",DATE(YEAR($A163),MONTH($A163),1))</f>
        <v/>
      </c>
      <c r="H163" s="62"/>
    </row>
    <row r="164" customFormat="false" ht="15" hidden="false" customHeight="false" outlineLevel="0" collapsed="false">
      <c r="A164" s="89"/>
      <c r="B164" s="62"/>
      <c r="C164" s="62"/>
      <c r="D164" s="63" t="str">
        <f aca="false">IF($C164="","",IFERROR(INDEX(Gantt!$B$4:$B$33,MATCH($C164,Gantt!$C$4:$C$33,0)),""))</f>
        <v/>
      </c>
      <c r="E164" s="70"/>
      <c r="F164" s="70"/>
      <c r="G164" s="90" t="str">
        <f aca="false">IF($A164="","",DATE(YEAR($A164),MONTH($A164),1))</f>
        <v/>
      </c>
      <c r="H164" s="62"/>
    </row>
    <row r="165" customFormat="false" ht="15" hidden="false" customHeight="false" outlineLevel="0" collapsed="false">
      <c r="A165" s="89"/>
      <c r="B165" s="62"/>
      <c r="C165" s="62"/>
      <c r="D165" s="92" t="str">
        <f aca="false">IF($C165="","",IFERROR(INDEX(Gantt!$B$4:$B$33,MATCH($C165,Gantt!$C$4:$C$33,0)),""))</f>
        <v/>
      </c>
      <c r="E165" s="70"/>
      <c r="F165" s="70"/>
      <c r="G165" s="93" t="str">
        <f aca="false">IF($A165="","",DATE(YEAR($A165),MONTH($A165),1))</f>
        <v/>
      </c>
      <c r="H165" s="62"/>
    </row>
    <row r="166" customFormat="false" ht="15" hidden="false" customHeight="false" outlineLevel="0" collapsed="false">
      <c r="A166" s="89"/>
      <c r="B166" s="62"/>
      <c r="C166" s="62"/>
      <c r="D166" s="63" t="str">
        <f aca="false">IF($C166="","",IFERROR(INDEX(Gantt!$B$4:$B$33,MATCH($C166,Gantt!$C$4:$C$33,0)),""))</f>
        <v/>
      </c>
      <c r="E166" s="70"/>
      <c r="F166" s="70"/>
      <c r="G166" s="90" t="str">
        <f aca="false">IF($A166="","",DATE(YEAR($A166),MONTH($A166),1))</f>
        <v/>
      </c>
      <c r="H166" s="62"/>
    </row>
    <row r="167" customFormat="false" ht="15" hidden="false" customHeight="false" outlineLevel="0" collapsed="false">
      <c r="A167" s="89"/>
      <c r="B167" s="62"/>
      <c r="C167" s="62"/>
      <c r="D167" s="92" t="str">
        <f aca="false">IF($C167="","",IFERROR(INDEX(Gantt!$B$4:$B$33,MATCH($C167,Gantt!$C$4:$C$33,0)),""))</f>
        <v/>
      </c>
      <c r="E167" s="70"/>
      <c r="F167" s="70"/>
      <c r="G167" s="93" t="str">
        <f aca="false">IF($A167="","",DATE(YEAR($A167),MONTH($A167),1))</f>
        <v/>
      </c>
      <c r="H167" s="62"/>
    </row>
    <row r="168" customFormat="false" ht="15" hidden="false" customHeight="false" outlineLevel="0" collapsed="false">
      <c r="A168" s="89"/>
      <c r="B168" s="62"/>
      <c r="C168" s="62"/>
      <c r="D168" s="63" t="str">
        <f aca="false">IF($C168="","",IFERROR(INDEX(Gantt!$B$4:$B$33,MATCH($C168,Gantt!$C$4:$C$33,0)),""))</f>
        <v/>
      </c>
      <c r="E168" s="70"/>
      <c r="F168" s="70"/>
      <c r="G168" s="90" t="str">
        <f aca="false">IF($A168="","",DATE(YEAR($A168),MONTH($A168),1))</f>
        <v/>
      </c>
      <c r="H168" s="62"/>
    </row>
    <row r="169" customFormat="false" ht="15" hidden="false" customHeight="false" outlineLevel="0" collapsed="false">
      <c r="A169" s="89"/>
      <c r="B169" s="62"/>
      <c r="C169" s="62"/>
      <c r="D169" s="92" t="str">
        <f aca="false">IF($C169="","",IFERROR(INDEX(Gantt!$B$4:$B$33,MATCH($C169,Gantt!$C$4:$C$33,0)),""))</f>
        <v/>
      </c>
      <c r="E169" s="70"/>
      <c r="F169" s="70"/>
      <c r="G169" s="93" t="str">
        <f aca="false">IF($A169="","",DATE(YEAR($A169),MONTH($A169),1))</f>
        <v/>
      </c>
      <c r="H169" s="62"/>
    </row>
    <row r="170" customFormat="false" ht="15" hidden="false" customHeight="false" outlineLevel="0" collapsed="false">
      <c r="A170" s="89"/>
      <c r="B170" s="62"/>
      <c r="C170" s="62"/>
      <c r="D170" s="63" t="str">
        <f aca="false">IF($C170="","",IFERROR(INDEX(Gantt!$B$4:$B$33,MATCH($C170,Gantt!$C$4:$C$33,0)),""))</f>
        <v/>
      </c>
      <c r="E170" s="70"/>
      <c r="F170" s="70"/>
      <c r="G170" s="90" t="str">
        <f aca="false">IF($A170="","",DATE(YEAR($A170),MONTH($A170),1))</f>
        <v/>
      </c>
      <c r="H170" s="62"/>
    </row>
    <row r="171" customFormat="false" ht="15" hidden="false" customHeight="false" outlineLevel="0" collapsed="false">
      <c r="A171" s="89"/>
      <c r="B171" s="62"/>
      <c r="C171" s="62"/>
      <c r="D171" s="92" t="str">
        <f aca="false">IF($C171="","",IFERROR(INDEX(Gantt!$B$4:$B$33,MATCH($C171,Gantt!$C$4:$C$33,0)),""))</f>
        <v/>
      </c>
      <c r="E171" s="70"/>
      <c r="F171" s="70"/>
      <c r="G171" s="93" t="str">
        <f aca="false">IF($A171="","",DATE(YEAR($A171),MONTH($A171),1))</f>
        <v/>
      </c>
      <c r="H171" s="62"/>
    </row>
    <row r="172" customFormat="false" ht="15" hidden="false" customHeight="false" outlineLevel="0" collapsed="false">
      <c r="A172" s="89"/>
      <c r="B172" s="62"/>
      <c r="C172" s="62"/>
      <c r="D172" s="63" t="str">
        <f aca="false">IF($C172="","",IFERROR(INDEX(Gantt!$B$4:$B$33,MATCH($C172,Gantt!$C$4:$C$33,0)),""))</f>
        <v/>
      </c>
      <c r="E172" s="70"/>
      <c r="F172" s="70"/>
      <c r="G172" s="90" t="str">
        <f aca="false">IF($A172="","",DATE(YEAR($A172),MONTH($A172),1))</f>
        <v/>
      </c>
      <c r="H172" s="62"/>
    </row>
    <row r="173" customFormat="false" ht="15" hidden="false" customHeight="false" outlineLevel="0" collapsed="false">
      <c r="A173" s="89"/>
      <c r="B173" s="62"/>
      <c r="C173" s="62"/>
      <c r="D173" s="92" t="str">
        <f aca="false">IF($C173="","",IFERROR(INDEX(Gantt!$B$4:$B$33,MATCH($C173,Gantt!$C$4:$C$33,0)),""))</f>
        <v/>
      </c>
      <c r="E173" s="70"/>
      <c r="F173" s="70"/>
      <c r="G173" s="93" t="str">
        <f aca="false">IF($A173="","",DATE(YEAR($A173),MONTH($A173),1))</f>
        <v/>
      </c>
      <c r="H173" s="62"/>
    </row>
    <row r="174" customFormat="false" ht="15" hidden="false" customHeight="false" outlineLevel="0" collapsed="false">
      <c r="A174" s="89"/>
      <c r="B174" s="62"/>
      <c r="C174" s="62"/>
      <c r="D174" s="63" t="str">
        <f aca="false">IF($C174="","",IFERROR(INDEX(Gantt!$B$4:$B$33,MATCH($C174,Gantt!$C$4:$C$33,0)),""))</f>
        <v/>
      </c>
      <c r="E174" s="70"/>
      <c r="F174" s="70"/>
      <c r="G174" s="90" t="str">
        <f aca="false">IF($A174="","",DATE(YEAR($A174),MONTH($A174),1))</f>
        <v/>
      </c>
      <c r="H174" s="62"/>
    </row>
    <row r="175" customFormat="false" ht="15" hidden="false" customHeight="false" outlineLevel="0" collapsed="false">
      <c r="A175" s="89"/>
      <c r="B175" s="62"/>
      <c r="C175" s="62"/>
      <c r="D175" s="92" t="str">
        <f aca="false">IF($C175="","",IFERROR(INDEX(Gantt!$B$4:$B$33,MATCH($C175,Gantt!$C$4:$C$33,0)),""))</f>
        <v/>
      </c>
      <c r="E175" s="70"/>
      <c r="F175" s="70"/>
      <c r="G175" s="93" t="str">
        <f aca="false">IF($A175="","",DATE(YEAR($A175),MONTH($A175),1))</f>
        <v/>
      </c>
      <c r="H175" s="62"/>
    </row>
    <row r="176" customFormat="false" ht="15" hidden="false" customHeight="false" outlineLevel="0" collapsed="false">
      <c r="A176" s="89"/>
      <c r="B176" s="62"/>
      <c r="C176" s="62"/>
      <c r="D176" s="63" t="str">
        <f aca="false">IF($C176="","",IFERROR(INDEX(Gantt!$B$4:$B$33,MATCH($C176,Gantt!$C$4:$C$33,0)),""))</f>
        <v/>
      </c>
      <c r="E176" s="70"/>
      <c r="F176" s="70"/>
      <c r="G176" s="90" t="str">
        <f aca="false">IF($A176="","",DATE(YEAR($A176),MONTH($A176),1))</f>
        <v/>
      </c>
      <c r="H176" s="62"/>
    </row>
    <row r="177" customFormat="false" ht="15" hidden="false" customHeight="false" outlineLevel="0" collapsed="false">
      <c r="A177" s="89"/>
      <c r="B177" s="62"/>
      <c r="C177" s="62"/>
      <c r="D177" s="92" t="str">
        <f aca="false">IF($C177="","",IFERROR(INDEX(Gantt!$B$4:$B$33,MATCH($C177,Gantt!$C$4:$C$33,0)),""))</f>
        <v/>
      </c>
      <c r="E177" s="70"/>
      <c r="F177" s="70"/>
      <c r="G177" s="93" t="str">
        <f aca="false">IF($A177="","",DATE(YEAR($A177),MONTH($A177),1))</f>
        <v/>
      </c>
      <c r="H177" s="62"/>
    </row>
    <row r="178" customFormat="false" ht="15" hidden="false" customHeight="false" outlineLevel="0" collapsed="false">
      <c r="A178" s="89"/>
      <c r="B178" s="62"/>
      <c r="C178" s="62"/>
      <c r="D178" s="63" t="str">
        <f aca="false">IF($C178="","",IFERROR(INDEX(Gantt!$B$4:$B$33,MATCH($C178,Gantt!$C$4:$C$33,0)),""))</f>
        <v/>
      </c>
      <c r="E178" s="70"/>
      <c r="F178" s="70"/>
      <c r="G178" s="90" t="str">
        <f aca="false">IF($A178="","",DATE(YEAR($A178),MONTH($A178),1))</f>
        <v/>
      </c>
      <c r="H178" s="62"/>
    </row>
    <row r="179" customFormat="false" ht="15" hidden="false" customHeight="false" outlineLevel="0" collapsed="false">
      <c r="A179" s="89"/>
      <c r="B179" s="62"/>
      <c r="C179" s="62"/>
      <c r="D179" s="92" t="str">
        <f aca="false">IF($C179="","",IFERROR(INDEX(Gantt!$B$4:$B$33,MATCH($C179,Gantt!$C$4:$C$33,0)),""))</f>
        <v/>
      </c>
      <c r="E179" s="70"/>
      <c r="F179" s="70"/>
      <c r="G179" s="93" t="str">
        <f aca="false">IF($A179="","",DATE(YEAR($A179),MONTH($A179),1))</f>
        <v/>
      </c>
      <c r="H179" s="62"/>
    </row>
    <row r="180" customFormat="false" ht="15" hidden="false" customHeight="false" outlineLevel="0" collapsed="false">
      <c r="A180" s="89"/>
      <c r="B180" s="62"/>
      <c r="C180" s="62"/>
      <c r="D180" s="63" t="str">
        <f aca="false">IF($C180="","",IFERROR(INDEX(Gantt!$B$4:$B$33,MATCH($C180,Gantt!$C$4:$C$33,0)),""))</f>
        <v/>
      </c>
      <c r="E180" s="70"/>
      <c r="F180" s="70"/>
      <c r="G180" s="90" t="str">
        <f aca="false">IF($A180="","",DATE(YEAR($A180),MONTH($A180),1))</f>
        <v/>
      </c>
      <c r="H180" s="62"/>
    </row>
    <row r="181" customFormat="false" ht="15" hidden="false" customHeight="false" outlineLevel="0" collapsed="false">
      <c r="A181" s="89"/>
      <c r="B181" s="62"/>
      <c r="C181" s="62"/>
      <c r="D181" s="92" t="str">
        <f aca="false">IF($C181="","",IFERROR(INDEX(Gantt!$B$4:$B$33,MATCH($C181,Gantt!$C$4:$C$33,0)),""))</f>
        <v/>
      </c>
      <c r="E181" s="70"/>
      <c r="F181" s="70"/>
      <c r="G181" s="93" t="str">
        <f aca="false">IF($A181="","",DATE(YEAR($A181),MONTH($A181),1))</f>
        <v/>
      </c>
      <c r="H181" s="62"/>
    </row>
    <row r="182" customFormat="false" ht="15" hidden="false" customHeight="false" outlineLevel="0" collapsed="false">
      <c r="A182" s="89"/>
      <c r="B182" s="62"/>
      <c r="C182" s="62"/>
      <c r="D182" s="63" t="str">
        <f aca="false">IF($C182="","",IFERROR(INDEX(Gantt!$B$4:$B$33,MATCH($C182,Gantt!$C$4:$C$33,0)),""))</f>
        <v/>
      </c>
      <c r="E182" s="70"/>
      <c r="F182" s="70"/>
      <c r="G182" s="90" t="str">
        <f aca="false">IF($A182="","",DATE(YEAR($A182),MONTH($A182),1))</f>
        <v/>
      </c>
      <c r="H182" s="62"/>
    </row>
    <row r="183" customFormat="false" ht="15" hidden="false" customHeight="false" outlineLevel="0" collapsed="false">
      <c r="A183" s="89"/>
      <c r="B183" s="62"/>
      <c r="C183" s="62"/>
      <c r="D183" s="92" t="str">
        <f aca="false">IF($C183="","",IFERROR(INDEX(Gantt!$B$4:$B$33,MATCH($C183,Gantt!$C$4:$C$33,0)),""))</f>
        <v/>
      </c>
      <c r="E183" s="70"/>
      <c r="F183" s="70"/>
      <c r="G183" s="93" t="str">
        <f aca="false">IF($A183="","",DATE(YEAR($A183),MONTH($A183),1))</f>
        <v/>
      </c>
      <c r="H183" s="62"/>
    </row>
    <row r="184" customFormat="false" ht="15" hidden="false" customHeight="false" outlineLevel="0" collapsed="false">
      <c r="A184" s="89"/>
      <c r="B184" s="62"/>
      <c r="C184" s="62"/>
      <c r="D184" s="63" t="str">
        <f aca="false">IF($C184="","",IFERROR(INDEX(Gantt!$B$4:$B$33,MATCH($C184,Gantt!$C$4:$C$33,0)),""))</f>
        <v/>
      </c>
      <c r="E184" s="70"/>
      <c r="F184" s="70"/>
      <c r="G184" s="90" t="str">
        <f aca="false">IF($A184="","",DATE(YEAR($A184),MONTH($A184),1))</f>
        <v/>
      </c>
      <c r="H184" s="62"/>
    </row>
    <row r="185" customFormat="false" ht="15" hidden="false" customHeight="false" outlineLevel="0" collapsed="false">
      <c r="A185" s="89"/>
      <c r="B185" s="62"/>
      <c r="C185" s="62"/>
      <c r="D185" s="92" t="str">
        <f aca="false">IF($C185="","",IFERROR(INDEX(Gantt!$B$4:$B$33,MATCH($C185,Gantt!$C$4:$C$33,0)),""))</f>
        <v/>
      </c>
      <c r="E185" s="70"/>
      <c r="F185" s="70"/>
      <c r="G185" s="93" t="str">
        <f aca="false">IF($A185="","",DATE(YEAR($A185),MONTH($A185),1))</f>
        <v/>
      </c>
      <c r="H185" s="62"/>
    </row>
    <row r="186" customFormat="false" ht="15" hidden="false" customHeight="false" outlineLevel="0" collapsed="false">
      <c r="A186" s="89"/>
      <c r="B186" s="62"/>
      <c r="C186" s="62"/>
      <c r="D186" s="63" t="str">
        <f aca="false">IF($C186="","",IFERROR(INDEX(Gantt!$B$4:$B$33,MATCH($C186,Gantt!$C$4:$C$33,0)),""))</f>
        <v/>
      </c>
      <c r="E186" s="70"/>
      <c r="F186" s="70"/>
      <c r="G186" s="90" t="str">
        <f aca="false">IF($A186="","",DATE(YEAR($A186),MONTH($A186),1))</f>
        <v/>
      </c>
      <c r="H186" s="62"/>
    </row>
    <row r="187" customFormat="false" ht="15" hidden="false" customHeight="false" outlineLevel="0" collapsed="false">
      <c r="A187" s="89"/>
      <c r="B187" s="62"/>
      <c r="C187" s="62"/>
      <c r="D187" s="92" t="str">
        <f aca="false">IF($C187="","",IFERROR(INDEX(Gantt!$B$4:$B$33,MATCH($C187,Gantt!$C$4:$C$33,0)),""))</f>
        <v/>
      </c>
      <c r="E187" s="70"/>
      <c r="F187" s="70"/>
      <c r="G187" s="93" t="str">
        <f aca="false">IF($A187="","",DATE(YEAR($A187),MONTH($A187),1))</f>
        <v/>
      </c>
      <c r="H187" s="62"/>
    </row>
    <row r="188" customFormat="false" ht="15" hidden="false" customHeight="false" outlineLevel="0" collapsed="false">
      <c r="A188" s="89"/>
      <c r="B188" s="62"/>
      <c r="C188" s="62"/>
      <c r="D188" s="63" t="str">
        <f aca="false">IF($C188="","",IFERROR(INDEX(Gantt!$B$4:$B$33,MATCH($C188,Gantt!$C$4:$C$33,0)),""))</f>
        <v/>
      </c>
      <c r="E188" s="70"/>
      <c r="F188" s="70"/>
      <c r="G188" s="90" t="str">
        <f aca="false">IF($A188="","",DATE(YEAR($A188),MONTH($A188),1))</f>
        <v/>
      </c>
      <c r="H188" s="62"/>
    </row>
    <row r="189" customFormat="false" ht="15" hidden="false" customHeight="false" outlineLevel="0" collapsed="false">
      <c r="A189" s="89"/>
      <c r="B189" s="62"/>
      <c r="C189" s="62"/>
      <c r="D189" s="92" t="str">
        <f aca="false">IF($C189="","",IFERROR(INDEX(Gantt!$B$4:$B$33,MATCH($C189,Gantt!$C$4:$C$33,0)),""))</f>
        <v/>
      </c>
      <c r="E189" s="70"/>
      <c r="F189" s="70"/>
      <c r="G189" s="93" t="str">
        <f aca="false">IF($A189="","",DATE(YEAR($A189),MONTH($A189),1))</f>
        <v/>
      </c>
      <c r="H189" s="62"/>
    </row>
    <row r="190" customFormat="false" ht="15" hidden="false" customHeight="false" outlineLevel="0" collapsed="false">
      <c r="A190" s="89"/>
      <c r="B190" s="62"/>
      <c r="C190" s="62"/>
      <c r="D190" s="63" t="str">
        <f aca="false">IF($C190="","",IFERROR(INDEX(Gantt!$B$4:$B$33,MATCH($C190,Gantt!$C$4:$C$33,0)),""))</f>
        <v/>
      </c>
      <c r="E190" s="70"/>
      <c r="F190" s="70"/>
      <c r="G190" s="90" t="str">
        <f aca="false">IF($A190="","",DATE(YEAR($A190),MONTH($A190),1))</f>
        <v/>
      </c>
      <c r="H190" s="62"/>
    </row>
    <row r="191" customFormat="false" ht="15" hidden="false" customHeight="false" outlineLevel="0" collapsed="false">
      <c r="A191" s="89"/>
      <c r="B191" s="62"/>
      <c r="C191" s="62"/>
      <c r="D191" s="92" t="str">
        <f aca="false">IF($C191="","",IFERROR(INDEX(Gantt!$B$4:$B$33,MATCH($C191,Gantt!$C$4:$C$33,0)),""))</f>
        <v/>
      </c>
      <c r="E191" s="70"/>
      <c r="F191" s="70"/>
      <c r="G191" s="93" t="str">
        <f aca="false">IF($A191="","",DATE(YEAR($A191),MONTH($A191),1))</f>
        <v/>
      </c>
      <c r="H191" s="62"/>
    </row>
    <row r="192" customFormat="false" ht="15" hidden="false" customHeight="false" outlineLevel="0" collapsed="false">
      <c r="A192" s="89"/>
      <c r="B192" s="62"/>
      <c r="C192" s="62"/>
      <c r="D192" s="63" t="str">
        <f aca="false">IF($C192="","",IFERROR(INDEX(Gantt!$B$4:$B$33,MATCH($C192,Gantt!$C$4:$C$33,0)),""))</f>
        <v/>
      </c>
      <c r="E192" s="70"/>
      <c r="F192" s="70"/>
      <c r="G192" s="90" t="str">
        <f aca="false">IF($A192="","",DATE(YEAR($A192),MONTH($A192),1))</f>
        <v/>
      </c>
      <c r="H192" s="62"/>
    </row>
    <row r="193" customFormat="false" ht="15" hidden="false" customHeight="false" outlineLevel="0" collapsed="false">
      <c r="A193" s="89"/>
      <c r="B193" s="62"/>
      <c r="C193" s="62"/>
      <c r="D193" s="92" t="str">
        <f aca="false">IF($C193="","",IFERROR(INDEX(Gantt!$B$4:$B$33,MATCH($C193,Gantt!$C$4:$C$33,0)),""))</f>
        <v/>
      </c>
      <c r="E193" s="70"/>
      <c r="F193" s="70"/>
      <c r="G193" s="93" t="str">
        <f aca="false">IF($A193="","",DATE(YEAR($A193),MONTH($A193),1))</f>
        <v/>
      </c>
      <c r="H193" s="62"/>
    </row>
    <row r="194" customFormat="false" ht="15" hidden="false" customHeight="false" outlineLevel="0" collapsed="false">
      <c r="A194" s="89"/>
      <c r="B194" s="62"/>
      <c r="C194" s="62"/>
      <c r="D194" s="63" t="str">
        <f aca="false">IF($C194="","",IFERROR(INDEX(Gantt!$B$4:$B$33,MATCH($C194,Gantt!$C$4:$C$33,0)),""))</f>
        <v/>
      </c>
      <c r="E194" s="70"/>
      <c r="F194" s="70"/>
      <c r="G194" s="90" t="str">
        <f aca="false">IF($A194="","",DATE(YEAR($A194),MONTH($A194),1))</f>
        <v/>
      </c>
      <c r="H194" s="62"/>
    </row>
    <row r="195" customFormat="false" ht="15" hidden="false" customHeight="false" outlineLevel="0" collapsed="false">
      <c r="A195" s="89"/>
      <c r="B195" s="62"/>
      <c r="C195" s="62"/>
      <c r="D195" s="92" t="str">
        <f aca="false">IF($C195="","",IFERROR(INDEX(Gantt!$B$4:$B$33,MATCH($C195,Gantt!$C$4:$C$33,0)),""))</f>
        <v/>
      </c>
      <c r="E195" s="70"/>
      <c r="F195" s="70"/>
      <c r="G195" s="93" t="str">
        <f aca="false">IF($A195="","",DATE(YEAR($A195),MONTH($A195),1))</f>
        <v/>
      </c>
      <c r="H195" s="62"/>
    </row>
    <row r="196" customFormat="false" ht="15" hidden="false" customHeight="false" outlineLevel="0" collapsed="false">
      <c r="A196" s="89"/>
      <c r="B196" s="62"/>
      <c r="C196" s="62"/>
      <c r="D196" s="63" t="str">
        <f aca="false">IF($C196="","",IFERROR(INDEX(Gantt!$B$4:$B$33,MATCH($C196,Gantt!$C$4:$C$33,0)),""))</f>
        <v/>
      </c>
      <c r="E196" s="70"/>
      <c r="F196" s="70"/>
      <c r="G196" s="90" t="str">
        <f aca="false">IF($A196="","",DATE(YEAR($A196),MONTH($A196),1))</f>
        <v/>
      </c>
      <c r="H196" s="62"/>
    </row>
    <row r="197" customFormat="false" ht="15" hidden="false" customHeight="false" outlineLevel="0" collapsed="false">
      <c r="A197" s="89"/>
      <c r="B197" s="62"/>
      <c r="C197" s="62"/>
      <c r="D197" s="92" t="str">
        <f aca="false">IF($C197="","",IFERROR(INDEX(Gantt!$B$4:$B$33,MATCH($C197,Gantt!$C$4:$C$33,0)),""))</f>
        <v/>
      </c>
      <c r="E197" s="70"/>
      <c r="F197" s="70"/>
      <c r="G197" s="93" t="str">
        <f aca="false">IF($A197="","",DATE(YEAR($A197),MONTH($A197),1))</f>
        <v/>
      </c>
      <c r="H197" s="62"/>
    </row>
    <row r="198" customFormat="false" ht="15" hidden="false" customHeight="false" outlineLevel="0" collapsed="false">
      <c r="A198" s="89"/>
      <c r="B198" s="62"/>
      <c r="C198" s="62"/>
      <c r="D198" s="63" t="str">
        <f aca="false">IF($C198="","",IFERROR(INDEX(Gantt!$B$4:$B$33,MATCH($C198,Gantt!$C$4:$C$33,0)),""))</f>
        <v/>
      </c>
      <c r="E198" s="70"/>
      <c r="F198" s="70"/>
      <c r="G198" s="90" t="str">
        <f aca="false">IF($A198="","",DATE(YEAR($A198),MONTH($A198),1))</f>
        <v/>
      </c>
      <c r="H198" s="62"/>
    </row>
    <row r="199" customFormat="false" ht="15" hidden="false" customHeight="false" outlineLevel="0" collapsed="false">
      <c r="A199" s="89"/>
      <c r="B199" s="62"/>
      <c r="C199" s="62"/>
      <c r="D199" s="92" t="str">
        <f aca="false">IF($C199="","",IFERROR(INDEX(Gantt!$B$4:$B$33,MATCH($C199,Gantt!$C$4:$C$33,0)),""))</f>
        <v/>
      </c>
      <c r="E199" s="70"/>
      <c r="F199" s="70"/>
      <c r="G199" s="93" t="str">
        <f aca="false">IF($A199="","",DATE(YEAR($A199),MONTH($A199),1))</f>
        <v/>
      </c>
      <c r="H199" s="62"/>
    </row>
    <row r="200" customFormat="false" ht="15" hidden="false" customHeight="false" outlineLevel="0" collapsed="false">
      <c r="A200" s="89"/>
      <c r="B200" s="62"/>
      <c r="C200" s="62"/>
      <c r="D200" s="63" t="str">
        <f aca="false">IF($C200="","",IFERROR(INDEX(Gantt!$B$4:$B$33,MATCH($C200,Gantt!$C$4:$C$33,0)),""))</f>
        <v/>
      </c>
      <c r="E200" s="70"/>
      <c r="F200" s="70"/>
      <c r="G200" s="90" t="str">
        <f aca="false">IF($A200="","",DATE(YEAR($A200),MONTH($A200),1))</f>
        <v/>
      </c>
      <c r="H200" s="62"/>
    </row>
    <row r="201" customFormat="false" ht="15" hidden="false" customHeight="false" outlineLevel="0" collapsed="false">
      <c r="A201" s="89"/>
      <c r="B201" s="62"/>
      <c r="C201" s="62"/>
      <c r="D201" s="92" t="str">
        <f aca="false">IF($C201="","",IFERROR(INDEX(Gantt!$B$4:$B$33,MATCH($C201,Gantt!$C$4:$C$33,0)),""))</f>
        <v/>
      </c>
      <c r="E201" s="70"/>
      <c r="F201" s="70"/>
      <c r="G201" s="93" t="str">
        <f aca="false">IF($A201="","",DATE(YEAR($A201),MONTH($A201),1))</f>
        <v/>
      </c>
      <c r="H201" s="62"/>
    </row>
    <row r="202" customFormat="false" ht="15" hidden="false" customHeight="false" outlineLevel="0" collapsed="false">
      <c r="A202" s="89"/>
      <c r="B202" s="62"/>
      <c r="C202" s="62"/>
      <c r="D202" s="63" t="str">
        <f aca="false">IF($C202="","",IFERROR(INDEX(Gantt!$B$4:$B$33,MATCH($C202,Gantt!$C$4:$C$33,0)),""))</f>
        <v/>
      </c>
      <c r="E202" s="70"/>
      <c r="F202" s="70"/>
      <c r="G202" s="90" t="str">
        <f aca="false">IF($A202="","",DATE(YEAR($A202),MONTH($A202),1))</f>
        <v/>
      </c>
      <c r="H202" s="62"/>
    </row>
    <row r="203" customFormat="false" ht="15" hidden="false" customHeight="false" outlineLevel="0" collapsed="false">
      <c r="A203" s="89"/>
      <c r="B203" s="62"/>
      <c r="C203" s="62"/>
      <c r="D203" s="92" t="str">
        <f aca="false">IF($C203="","",IFERROR(INDEX(Gantt!$B$4:$B$33,MATCH($C203,Gantt!$C$4:$C$33,0)),""))</f>
        <v/>
      </c>
      <c r="E203" s="70"/>
      <c r="F203" s="70"/>
      <c r="G203" s="93" t="str">
        <f aca="false">IF($A203="","",DATE(YEAR($A203),MONTH($A203),1))</f>
        <v/>
      </c>
      <c r="H203" s="62"/>
    </row>
    <row r="204" customFormat="false" ht="15" hidden="false" customHeight="false" outlineLevel="0" collapsed="false">
      <c r="A204" s="89"/>
      <c r="B204" s="62"/>
      <c r="C204" s="62"/>
      <c r="D204" s="63" t="str">
        <f aca="false">IF($C204="","",IFERROR(INDEX(Gantt!$B$4:$B$33,MATCH($C204,Gantt!$C$4:$C$33,0)),""))</f>
        <v/>
      </c>
      <c r="E204" s="70"/>
      <c r="F204" s="70"/>
      <c r="G204" s="90" t="str">
        <f aca="false">IF($A204="","",DATE(YEAR($A204),MONTH($A204),1))</f>
        <v/>
      </c>
      <c r="H204" s="62"/>
    </row>
    <row r="205" customFormat="false" ht="15" hidden="false" customHeight="false" outlineLevel="0" collapsed="false">
      <c r="A205" s="89"/>
      <c r="B205" s="62"/>
      <c r="C205" s="62"/>
      <c r="D205" s="92" t="str">
        <f aca="false">IF($C205="","",IFERROR(INDEX(Gantt!$B$4:$B$33,MATCH($C205,Gantt!$C$4:$C$33,0)),""))</f>
        <v/>
      </c>
      <c r="E205" s="70"/>
      <c r="F205" s="70"/>
      <c r="G205" s="93" t="str">
        <f aca="false">IF($A205="","",DATE(YEAR($A205),MONTH($A205),1))</f>
        <v/>
      </c>
      <c r="H205" s="62"/>
    </row>
    <row r="206" customFormat="false" ht="15" hidden="false" customHeight="false" outlineLevel="0" collapsed="false">
      <c r="A206" s="89"/>
      <c r="B206" s="62"/>
      <c r="C206" s="62"/>
      <c r="D206" s="63" t="str">
        <f aca="false">IF($C206="","",IFERROR(INDEX(Gantt!$B$4:$B$33,MATCH($C206,Gantt!$C$4:$C$33,0)),""))</f>
        <v/>
      </c>
      <c r="E206" s="70"/>
      <c r="F206" s="70"/>
      <c r="G206" s="90" t="str">
        <f aca="false">IF($A206="","",DATE(YEAR($A206),MONTH($A206),1))</f>
        <v/>
      </c>
      <c r="H206" s="62"/>
    </row>
    <row r="207" customFormat="false" ht="15" hidden="false" customHeight="false" outlineLevel="0" collapsed="false">
      <c r="A207" s="89"/>
      <c r="B207" s="62"/>
      <c r="C207" s="62"/>
      <c r="D207" s="92" t="str">
        <f aca="false">IF($C207="","",IFERROR(INDEX(Gantt!$B$4:$B$33,MATCH($C207,Gantt!$C$4:$C$33,0)),""))</f>
        <v/>
      </c>
      <c r="E207" s="70"/>
      <c r="F207" s="70"/>
      <c r="G207" s="93" t="str">
        <f aca="false">IF($A207="","",DATE(YEAR($A207),MONTH($A207),1))</f>
        <v/>
      </c>
      <c r="H207" s="62"/>
    </row>
    <row r="208" customFormat="false" ht="15" hidden="false" customHeight="false" outlineLevel="0" collapsed="false">
      <c r="A208" s="89"/>
      <c r="B208" s="62"/>
      <c r="C208" s="62"/>
      <c r="D208" s="63" t="str">
        <f aca="false">IF($C208="","",IFERROR(INDEX(Gantt!$B$4:$B$33,MATCH($C208,Gantt!$C$4:$C$33,0)),""))</f>
        <v/>
      </c>
      <c r="E208" s="70"/>
      <c r="F208" s="70"/>
      <c r="G208" s="90" t="str">
        <f aca="false">IF($A208="","",DATE(YEAR($A208),MONTH($A208),1))</f>
        <v/>
      </c>
      <c r="H208" s="62"/>
    </row>
    <row r="209" customFormat="false" ht="15" hidden="false" customHeight="false" outlineLevel="0" collapsed="false">
      <c r="A209" s="89"/>
      <c r="B209" s="62"/>
      <c r="C209" s="62"/>
      <c r="D209" s="92" t="str">
        <f aca="false">IF($C209="","",IFERROR(INDEX(Gantt!$B$4:$B$33,MATCH($C209,Gantt!$C$4:$C$33,0)),""))</f>
        <v/>
      </c>
      <c r="E209" s="70"/>
      <c r="F209" s="70"/>
      <c r="G209" s="93" t="str">
        <f aca="false">IF($A209="","",DATE(YEAR($A209),MONTH($A209),1))</f>
        <v/>
      </c>
      <c r="H209" s="62"/>
    </row>
    <row r="210" customFormat="false" ht="15" hidden="false" customHeight="false" outlineLevel="0" collapsed="false">
      <c r="A210" s="89"/>
      <c r="B210" s="62"/>
      <c r="C210" s="62"/>
      <c r="D210" s="63" t="str">
        <f aca="false">IF($C210="","",IFERROR(INDEX(Gantt!$B$4:$B$33,MATCH($C210,Gantt!$C$4:$C$33,0)),""))</f>
        <v/>
      </c>
      <c r="E210" s="70"/>
      <c r="F210" s="70"/>
      <c r="G210" s="90" t="str">
        <f aca="false">IF($A210="","",DATE(YEAR($A210),MONTH($A210),1))</f>
        <v/>
      </c>
      <c r="H210" s="62"/>
    </row>
    <row r="211" customFormat="false" ht="15" hidden="false" customHeight="false" outlineLevel="0" collapsed="false">
      <c r="A211" s="89"/>
      <c r="B211" s="62"/>
      <c r="C211" s="62"/>
      <c r="D211" s="92" t="str">
        <f aca="false">IF($C211="","",IFERROR(INDEX(Gantt!$B$4:$B$33,MATCH($C211,Gantt!$C$4:$C$33,0)),""))</f>
        <v/>
      </c>
      <c r="E211" s="70"/>
      <c r="F211" s="70"/>
      <c r="G211" s="93" t="str">
        <f aca="false">IF($A211="","",DATE(YEAR($A211),MONTH($A211),1))</f>
        <v/>
      </c>
      <c r="H211" s="62"/>
    </row>
    <row r="212" customFormat="false" ht="15" hidden="false" customHeight="false" outlineLevel="0" collapsed="false">
      <c r="A212" s="89"/>
      <c r="B212" s="62"/>
      <c r="C212" s="62"/>
      <c r="D212" s="63" t="str">
        <f aca="false">IF($C212="","",IFERROR(INDEX(Gantt!$B$4:$B$33,MATCH($C212,Gantt!$C$4:$C$33,0)),""))</f>
        <v/>
      </c>
      <c r="E212" s="70"/>
      <c r="F212" s="70"/>
      <c r="G212" s="90" t="str">
        <f aca="false">IF($A212="","",DATE(YEAR($A212),MONTH($A212),1))</f>
        <v/>
      </c>
      <c r="H212" s="62"/>
    </row>
    <row r="213" customFormat="false" ht="15" hidden="false" customHeight="false" outlineLevel="0" collapsed="false">
      <c r="A213" s="89"/>
      <c r="B213" s="62"/>
      <c r="C213" s="62"/>
      <c r="D213" s="92" t="str">
        <f aca="false">IF($C213="","",IFERROR(INDEX(Gantt!$B$4:$B$33,MATCH($C213,Gantt!$C$4:$C$33,0)),""))</f>
        <v/>
      </c>
      <c r="E213" s="70"/>
      <c r="F213" s="70"/>
      <c r="G213" s="93" t="str">
        <f aca="false">IF($A213="","",DATE(YEAR($A213),MONTH($A213),1))</f>
        <v/>
      </c>
      <c r="H213" s="62"/>
    </row>
    <row r="214" customFormat="false" ht="15" hidden="false" customHeight="false" outlineLevel="0" collapsed="false">
      <c r="A214" s="89"/>
      <c r="B214" s="62"/>
      <c r="C214" s="62"/>
      <c r="D214" s="63" t="str">
        <f aca="false">IF($C214="","",IFERROR(INDEX(Gantt!$B$4:$B$33,MATCH($C214,Gantt!$C$4:$C$33,0)),""))</f>
        <v/>
      </c>
      <c r="E214" s="70"/>
      <c r="F214" s="70"/>
      <c r="G214" s="90" t="str">
        <f aca="false">IF($A214="","",DATE(YEAR($A214),MONTH($A214),1))</f>
        <v/>
      </c>
      <c r="H214" s="62"/>
    </row>
    <row r="215" customFormat="false" ht="15" hidden="false" customHeight="false" outlineLevel="0" collapsed="false">
      <c r="A215" s="89"/>
      <c r="B215" s="62"/>
      <c r="C215" s="62"/>
      <c r="D215" s="92" t="str">
        <f aca="false">IF($C215="","",IFERROR(INDEX(Gantt!$B$4:$B$33,MATCH($C215,Gantt!$C$4:$C$33,0)),""))</f>
        <v/>
      </c>
      <c r="E215" s="70"/>
      <c r="F215" s="70"/>
      <c r="G215" s="93" t="str">
        <f aca="false">IF($A215="","",DATE(YEAR($A215),MONTH($A215),1))</f>
        <v/>
      </c>
      <c r="H215" s="62"/>
    </row>
    <row r="216" customFormat="false" ht="15" hidden="false" customHeight="false" outlineLevel="0" collapsed="false">
      <c r="A216" s="89"/>
      <c r="B216" s="62"/>
      <c r="C216" s="62"/>
      <c r="D216" s="63" t="str">
        <f aca="false">IF($C216="","",IFERROR(INDEX(Gantt!$B$4:$B$33,MATCH($C216,Gantt!$C$4:$C$33,0)),""))</f>
        <v/>
      </c>
      <c r="E216" s="70"/>
      <c r="F216" s="70"/>
      <c r="G216" s="90" t="str">
        <f aca="false">IF($A216="","",DATE(YEAR($A216),MONTH($A216),1))</f>
        <v/>
      </c>
      <c r="H216" s="62"/>
    </row>
    <row r="217" customFormat="false" ht="15" hidden="false" customHeight="false" outlineLevel="0" collapsed="false">
      <c r="A217" s="89"/>
      <c r="B217" s="62"/>
      <c r="C217" s="62"/>
      <c r="D217" s="92" t="str">
        <f aca="false">IF($C217="","",IFERROR(INDEX(Gantt!$B$4:$B$33,MATCH($C217,Gantt!$C$4:$C$33,0)),""))</f>
        <v/>
      </c>
      <c r="E217" s="70"/>
      <c r="F217" s="70"/>
      <c r="G217" s="93" t="str">
        <f aca="false">IF($A217="","",DATE(YEAR($A217),MONTH($A217),1))</f>
        <v/>
      </c>
      <c r="H217" s="62"/>
    </row>
    <row r="218" customFormat="false" ht="15" hidden="false" customHeight="false" outlineLevel="0" collapsed="false">
      <c r="A218" s="89"/>
      <c r="B218" s="62"/>
      <c r="C218" s="62"/>
      <c r="D218" s="63" t="str">
        <f aca="false">IF($C218="","",IFERROR(INDEX(Gantt!$B$4:$B$33,MATCH($C218,Gantt!$C$4:$C$33,0)),""))</f>
        <v/>
      </c>
      <c r="E218" s="70"/>
      <c r="F218" s="70"/>
      <c r="G218" s="90" t="str">
        <f aca="false">IF($A218="","",DATE(YEAR($A218),MONTH($A218),1))</f>
        <v/>
      </c>
      <c r="H218" s="62"/>
    </row>
    <row r="219" customFormat="false" ht="15" hidden="false" customHeight="false" outlineLevel="0" collapsed="false">
      <c r="A219" s="89"/>
      <c r="B219" s="62"/>
      <c r="C219" s="62"/>
      <c r="D219" s="92" t="str">
        <f aca="false">IF($C219="","",IFERROR(INDEX(Gantt!$B$4:$B$33,MATCH($C219,Gantt!$C$4:$C$33,0)),""))</f>
        <v/>
      </c>
      <c r="E219" s="70"/>
      <c r="F219" s="70"/>
      <c r="G219" s="93" t="str">
        <f aca="false">IF($A219="","",DATE(YEAR($A219),MONTH($A219),1))</f>
        <v/>
      </c>
      <c r="H219" s="62"/>
    </row>
    <row r="220" customFormat="false" ht="15" hidden="false" customHeight="false" outlineLevel="0" collapsed="false">
      <c r="A220" s="89"/>
      <c r="B220" s="62"/>
      <c r="C220" s="62"/>
      <c r="D220" s="63" t="str">
        <f aca="false">IF($C220="","",IFERROR(INDEX(Gantt!$B$4:$B$33,MATCH($C220,Gantt!$C$4:$C$33,0)),""))</f>
        <v/>
      </c>
      <c r="E220" s="70"/>
      <c r="F220" s="70"/>
      <c r="G220" s="90" t="str">
        <f aca="false">IF($A220="","",DATE(YEAR($A220),MONTH($A220),1))</f>
        <v/>
      </c>
      <c r="H220" s="62"/>
    </row>
    <row r="221" customFormat="false" ht="15" hidden="false" customHeight="false" outlineLevel="0" collapsed="false">
      <c r="A221" s="89"/>
      <c r="B221" s="62"/>
      <c r="C221" s="62"/>
      <c r="D221" s="92" t="str">
        <f aca="false">IF($C221="","",IFERROR(INDEX(Gantt!$B$4:$B$33,MATCH($C221,Gantt!$C$4:$C$33,0)),""))</f>
        <v/>
      </c>
      <c r="E221" s="70"/>
      <c r="F221" s="70"/>
      <c r="G221" s="93" t="str">
        <f aca="false">IF($A221="","",DATE(YEAR($A221),MONTH($A221),1))</f>
        <v/>
      </c>
      <c r="H221" s="62"/>
    </row>
    <row r="222" customFormat="false" ht="15" hidden="false" customHeight="false" outlineLevel="0" collapsed="false">
      <c r="A222" s="89"/>
      <c r="B222" s="62"/>
      <c r="C222" s="62"/>
      <c r="D222" s="63" t="str">
        <f aca="false">IF($C222="","",IFERROR(INDEX(Gantt!$B$4:$B$33,MATCH($C222,Gantt!$C$4:$C$33,0)),""))</f>
        <v/>
      </c>
      <c r="E222" s="70"/>
      <c r="F222" s="70"/>
      <c r="G222" s="90" t="str">
        <f aca="false">IF($A222="","",DATE(YEAR($A222),MONTH($A222),1))</f>
        <v/>
      </c>
      <c r="H222" s="62"/>
    </row>
    <row r="223" customFormat="false" ht="15" hidden="false" customHeight="false" outlineLevel="0" collapsed="false">
      <c r="A223" s="89"/>
      <c r="B223" s="62"/>
      <c r="C223" s="62"/>
      <c r="D223" s="92" t="str">
        <f aca="false">IF($C223="","",IFERROR(INDEX(Gantt!$B$4:$B$33,MATCH($C223,Gantt!$C$4:$C$33,0)),""))</f>
        <v/>
      </c>
      <c r="E223" s="70"/>
      <c r="F223" s="70"/>
      <c r="G223" s="93" t="str">
        <f aca="false">IF($A223="","",DATE(YEAR($A223),MONTH($A223),1))</f>
        <v/>
      </c>
      <c r="H223" s="62"/>
    </row>
    <row r="224" customFormat="false" ht="15" hidden="false" customHeight="false" outlineLevel="0" collapsed="false">
      <c r="A224" s="89"/>
      <c r="B224" s="62"/>
      <c r="C224" s="62"/>
      <c r="D224" s="63" t="str">
        <f aca="false">IF($C224="","",IFERROR(INDEX(Gantt!$B$4:$B$33,MATCH($C224,Gantt!$C$4:$C$33,0)),""))</f>
        <v/>
      </c>
      <c r="E224" s="70"/>
      <c r="F224" s="70"/>
      <c r="G224" s="90" t="str">
        <f aca="false">IF($A224="","",DATE(YEAR($A224),MONTH($A224),1))</f>
        <v/>
      </c>
      <c r="H224" s="62"/>
    </row>
    <row r="225" customFormat="false" ht="15" hidden="false" customHeight="false" outlineLevel="0" collapsed="false">
      <c r="A225" s="89"/>
      <c r="B225" s="62"/>
      <c r="C225" s="62"/>
      <c r="D225" s="92" t="str">
        <f aca="false">IF($C225="","",IFERROR(INDEX(Gantt!$B$4:$B$33,MATCH($C225,Gantt!$C$4:$C$33,0)),""))</f>
        <v/>
      </c>
      <c r="E225" s="70"/>
      <c r="F225" s="70"/>
      <c r="G225" s="93" t="str">
        <f aca="false">IF($A225="","",DATE(YEAR($A225),MONTH($A225),1))</f>
        <v/>
      </c>
      <c r="H225" s="62"/>
    </row>
    <row r="226" customFormat="false" ht="15" hidden="false" customHeight="false" outlineLevel="0" collapsed="false">
      <c r="A226" s="89"/>
      <c r="B226" s="62"/>
      <c r="C226" s="62"/>
      <c r="D226" s="63" t="str">
        <f aca="false">IF($C226="","",IFERROR(INDEX(Gantt!$B$4:$B$33,MATCH($C226,Gantt!$C$4:$C$33,0)),""))</f>
        <v/>
      </c>
      <c r="E226" s="70"/>
      <c r="F226" s="70"/>
      <c r="G226" s="90" t="str">
        <f aca="false">IF($A226="","",DATE(YEAR($A226),MONTH($A226),1))</f>
        <v/>
      </c>
      <c r="H226" s="62"/>
    </row>
    <row r="227" customFormat="false" ht="15" hidden="false" customHeight="false" outlineLevel="0" collapsed="false">
      <c r="A227" s="89"/>
      <c r="B227" s="62"/>
      <c r="C227" s="62"/>
      <c r="D227" s="92" t="str">
        <f aca="false">IF($C227="","",IFERROR(INDEX(Gantt!$B$4:$B$33,MATCH($C227,Gantt!$C$4:$C$33,0)),""))</f>
        <v/>
      </c>
      <c r="E227" s="70"/>
      <c r="F227" s="70"/>
      <c r="G227" s="93" t="str">
        <f aca="false">IF($A227="","",DATE(YEAR($A227),MONTH($A227),1))</f>
        <v/>
      </c>
      <c r="H227" s="62"/>
    </row>
    <row r="228" customFormat="false" ht="15" hidden="false" customHeight="false" outlineLevel="0" collapsed="false">
      <c r="A228" s="89"/>
      <c r="B228" s="62"/>
      <c r="C228" s="62"/>
      <c r="D228" s="63" t="str">
        <f aca="false">IF($C228="","",IFERROR(INDEX(Gantt!$B$4:$B$33,MATCH($C228,Gantt!$C$4:$C$33,0)),""))</f>
        <v/>
      </c>
      <c r="E228" s="70"/>
      <c r="F228" s="70"/>
      <c r="G228" s="90" t="str">
        <f aca="false">IF($A228="","",DATE(YEAR($A228),MONTH($A228),1))</f>
        <v/>
      </c>
      <c r="H228" s="62"/>
    </row>
    <row r="229" customFormat="false" ht="15" hidden="false" customHeight="false" outlineLevel="0" collapsed="false">
      <c r="A229" s="89"/>
      <c r="B229" s="62"/>
      <c r="C229" s="62"/>
      <c r="D229" s="92" t="str">
        <f aca="false">IF($C229="","",IFERROR(INDEX(Gantt!$B$4:$B$33,MATCH($C229,Gantt!$C$4:$C$33,0)),""))</f>
        <v/>
      </c>
      <c r="E229" s="70"/>
      <c r="F229" s="70"/>
      <c r="G229" s="93" t="str">
        <f aca="false">IF($A229="","",DATE(YEAR($A229),MONTH($A229),1))</f>
        <v/>
      </c>
      <c r="H229" s="62"/>
    </row>
    <row r="230" customFormat="false" ht="15" hidden="false" customHeight="false" outlineLevel="0" collapsed="false">
      <c r="A230" s="89"/>
      <c r="B230" s="62"/>
      <c r="C230" s="62"/>
      <c r="D230" s="63" t="str">
        <f aca="false">IF($C230="","",IFERROR(INDEX(Gantt!$B$4:$B$33,MATCH($C230,Gantt!$C$4:$C$33,0)),""))</f>
        <v/>
      </c>
      <c r="E230" s="70"/>
      <c r="F230" s="70"/>
      <c r="G230" s="90" t="str">
        <f aca="false">IF($A230="","",DATE(YEAR($A230),MONTH($A230),1))</f>
        <v/>
      </c>
      <c r="H230" s="62"/>
    </row>
    <row r="231" customFormat="false" ht="15" hidden="false" customHeight="false" outlineLevel="0" collapsed="false">
      <c r="A231" s="89"/>
      <c r="B231" s="62"/>
      <c r="C231" s="62"/>
      <c r="D231" s="92" t="str">
        <f aca="false">IF($C231="","",IFERROR(INDEX(Gantt!$B$4:$B$33,MATCH($C231,Gantt!$C$4:$C$33,0)),""))</f>
        <v/>
      </c>
      <c r="E231" s="70"/>
      <c r="F231" s="70"/>
      <c r="G231" s="93" t="str">
        <f aca="false">IF($A231="","",DATE(YEAR($A231),MONTH($A231),1))</f>
        <v/>
      </c>
      <c r="H231" s="62"/>
    </row>
    <row r="232" customFormat="false" ht="15" hidden="false" customHeight="false" outlineLevel="0" collapsed="false">
      <c r="A232" s="89"/>
      <c r="B232" s="62"/>
      <c r="C232" s="62"/>
      <c r="D232" s="63" t="str">
        <f aca="false">IF($C232="","",IFERROR(INDEX(Gantt!$B$4:$B$33,MATCH($C232,Gantt!$C$4:$C$33,0)),""))</f>
        <v/>
      </c>
      <c r="E232" s="70"/>
      <c r="F232" s="70"/>
      <c r="G232" s="90" t="str">
        <f aca="false">IF($A232="","",DATE(YEAR($A232),MONTH($A232),1))</f>
        <v/>
      </c>
      <c r="H232" s="62"/>
    </row>
    <row r="233" customFormat="false" ht="15" hidden="false" customHeight="false" outlineLevel="0" collapsed="false">
      <c r="A233" s="89"/>
      <c r="B233" s="62"/>
      <c r="C233" s="62"/>
      <c r="D233" s="92" t="str">
        <f aca="false">IF($C233="","",IFERROR(INDEX(Gantt!$B$4:$B$33,MATCH($C233,Gantt!$C$4:$C$33,0)),""))</f>
        <v/>
      </c>
      <c r="E233" s="70"/>
      <c r="F233" s="70"/>
      <c r="G233" s="93" t="str">
        <f aca="false">IF($A233="","",DATE(YEAR($A233),MONTH($A233),1))</f>
        <v/>
      </c>
      <c r="H233" s="62"/>
    </row>
    <row r="234" customFormat="false" ht="15" hidden="false" customHeight="false" outlineLevel="0" collapsed="false">
      <c r="A234" s="89"/>
      <c r="B234" s="62"/>
      <c r="C234" s="62"/>
      <c r="D234" s="63" t="str">
        <f aca="false">IF($C234="","",IFERROR(INDEX(Gantt!$B$4:$B$33,MATCH($C234,Gantt!$C$4:$C$33,0)),""))</f>
        <v/>
      </c>
      <c r="E234" s="70"/>
      <c r="F234" s="70"/>
      <c r="G234" s="90" t="str">
        <f aca="false">IF($A234="","",DATE(YEAR($A234),MONTH($A234),1))</f>
        <v/>
      </c>
      <c r="H234" s="62"/>
    </row>
    <row r="235" customFormat="false" ht="15" hidden="false" customHeight="false" outlineLevel="0" collapsed="false">
      <c r="A235" s="89"/>
      <c r="B235" s="62"/>
      <c r="C235" s="62"/>
      <c r="D235" s="92" t="str">
        <f aca="false">IF($C235="","",IFERROR(INDEX(Gantt!$B$4:$B$33,MATCH($C235,Gantt!$C$4:$C$33,0)),""))</f>
        <v/>
      </c>
      <c r="E235" s="70"/>
      <c r="F235" s="70"/>
      <c r="G235" s="93" t="str">
        <f aca="false">IF($A235="","",DATE(YEAR($A235),MONTH($A235),1))</f>
        <v/>
      </c>
      <c r="H235" s="62"/>
    </row>
    <row r="236" customFormat="false" ht="15" hidden="false" customHeight="false" outlineLevel="0" collapsed="false">
      <c r="A236" s="89"/>
      <c r="B236" s="62"/>
      <c r="C236" s="62"/>
      <c r="D236" s="63" t="str">
        <f aca="false">IF($C236="","",IFERROR(INDEX(Gantt!$B$4:$B$33,MATCH($C236,Gantt!$C$4:$C$33,0)),""))</f>
        <v/>
      </c>
      <c r="E236" s="70"/>
      <c r="F236" s="70"/>
      <c r="G236" s="90" t="str">
        <f aca="false">IF($A236="","",DATE(YEAR($A236),MONTH($A236),1))</f>
        <v/>
      </c>
      <c r="H236" s="62"/>
    </row>
    <row r="237" customFormat="false" ht="15" hidden="false" customHeight="false" outlineLevel="0" collapsed="false">
      <c r="A237" s="89"/>
      <c r="B237" s="62"/>
      <c r="C237" s="62"/>
      <c r="D237" s="92" t="str">
        <f aca="false">IF($C237="","",IFERROR(INDEX(Gantt!$B$4:$B$33,MATCH($C237,Gantt!$C$4:$C$33,0)),""))</f>
        <v/>
      </c>
      <c r="E237" s="70"/>
      <c r="F237" s="70"/>
      <c r="G237" s="93" t="str">
        <f aca="false">IF($A237="","",DATE(YEAR($A237),MONTH($A237),1))</f>
        <v/>
      </c>
      <c r="H237" s="62"/>
    </row>
    <row r="238" customFormat="false" ht="15" hidden="false" customHeight="false" outlineLevel="0" collapsed="false">
      <c r="A238" s="89"/>
      <c r="B238" s="62"/>
      <c r="C238" s="62"/>
      <c r="D238" s="63" t="str">
        <f aca="false">IF($C238="","",IFERROR(INDEX(Gantt!$B$4:$B$33,MATCH($C238,Gantt!$C$4:$C$33,0)),""))</f>
        <v/>
      </c>
      <c r="E238" s="70"/>
      <c r="F238" s="70"/>
      <c r="G238" s="90" t="str">
        <f aca="false">IF($A238="","",DATE(YEAR($A238),MONTH($A238),1))</f>
        <v/>
      </c>
      <c r="H238" s="62"/>
    </row>
    <row r="239" customFormat="false" ht="15" hidden="false" customHeight="false" outlineLevel="0" collapsed="false">
      <c r="A239" s="89"/>
      <c r="B239" s="62"/>
      <c r="C239" s="62"/>
      <c r="D239" s="92" t="str">
        <f aca="false">IF($C239="","",IFERROR(INDEX(Gantt!$B$4:$B$33,MATCH($C239,Gantt!$C$4:$C$33,0)),""))</f>
        <v/>
      </c>
      <c r="E239" s="70"/>
      <c r="F239" s="70"/>
      <c r="G239" s="93" t="str">
        <f aca="false">IF($A239="","",DATE(YEAR($A239),MONTH($A239),1))</f>
        <v/>
      </c>
      <c r="H239" s="62"/>
    </row>
    <row r="240" customFormat="false" ht="15" hidden="false" customHeight="false" outlineLevel="0" collapsed="false">
      <c r="A240" s="89"/>
      <c r="B240" s="62"/>
      <c r="C240" s="62"/>
      <c r="D240" s="63" t="str">
        <f aca="false">IF($C240="","",IFERROR(INDEX(Gantt!$B$4:$B$33,MATCH($C240,Gantt!$C$4:$C$33,0)),""))</f>
        <v/>
      </c>
      <c r="E240" s="70"/>
      <c r="F240" s="70"/>
      <c r="G240" s="90" t="str">
        <f aca="false">IF($A240="","",DATE(YEAR($A240),MONTH($A240),1))</f>
        <v/>
      </c>
      <c r="H240" s="62"/>
    </row>
    <row r="241" customFormat="false" ht="15" hidden="false" customHeight="false" outlineLevel="0" collapsed="false">
      <c r="A241" s="89"/>
      <c r="B241" s="62"/>
      <c r="C241" s="62"/>
      <c r="D241" s="92" t="str">
        <f aca="false">IF($C241="","",IFERROR(INDEX(Gantt!$B$4:$B$33,MATCH($C241,Gantt!$C$4:$C$33,0)),""))</f>
        <v/>
      </c>
      <c r="E241" s="70"/>
      <c r="F241" s="70"/>
      <c r="G241" s="93" t="str">
        <f aca="false">IF($A241="","",DATE(YEAR($A241),MONTH($A241),1))</f>
        <v/>
      </c>
      <c r="H241" s="62"/>
    </row>
    <row r="242" customFormat="false" ht="15" hidden="false" customHeight="false" outlineLevel="0" collapsed="false">
      <c r="A242" s="89"/>
      <c r="B242" s="62"/>
      <c r="C242" s="62"/>
      <c r="D242" s="63" t="str">
        <f aca="false">IF($C242="","",IFERROR(INDEX(Gantt!$B$4:$B$33,MATCH($C242,Gantt!$C$4:$C$33,0)),""))</f>
        <v/>
      </c>
      <c r="E242" s="70"/>
      <c r="F242" s="70"/>
      <c r="G242" s="90" t="str">
        <f aca="false">IF($A242="","",DATE(YEAR($A242),MONTH($A242),1))</f>
        <v/>
      </c>
      <c r="H242" s="62"/>
    </row>
    <row r="243" customFormat="false" ht="15" hidden="false" customHeight="false" outlineLevel="0" collapsed="false">
      <c r="A243" s="89"/>
      <c r="B243" s="62"/>
      <c r="C243" s="62"/>
      <c r="D243" s="92" t="str">
        <f aca="false">IF($C243="","",IFERROR(INDEX(Gantt!$B$4:$B$33,MATCH($C243,Gantt!$C$4:$C$33,0)),""))</f>
        <v/>
      </c>
      <c r="E243" s="70"/>
      <c r="F243" s="70"/>
      <c r="G243" s="93" t="str">
        <f aca="false">IF($A243="","",DATE(YEAR($A243),MONTH($A243),1))</f>
        <v/>
      </c>
      <c r="H243" s="62"/>
    </row>
    <row r="244" customFormat="false" ht="15" hidden="false" customHeight="false" outlineLevel="0" collapsed="false">
      <c r="A244" s="89"/>
      <c r="B244" s="62"/>
      <c r="C244" s="62"/>
      <c r="D244" s="63" t="str">
        <f aca="false">IF($C244="","",IFERROR(INDEX(Gantt!$B$4:$B$33,MATCH($C244,Gantt!$C$4:$C$33,0)),""))</f>
        <v/>
      </c>
      <c r="E244" s="70"/>
      <c r="F244" s="70"/>
      <c r="G244" s="90" t="str">
        <f aca="false">IF($A244="","",DATE(YEAR($A244),MONTH($A244),1))</f>
        <v/>
      </c>
      <c r="H244" s="62"/>
    </row>
    <row r="245" customFormat="false" ht="15" hidden="false" customHeight="false" outlineLevel="0" collapsed="false">
      <c r="A245" s="89"/>
      <c r="B245" s="62"/>
      <c r="C245" s="62"/>
      <c r="D245" s="92" t="str">
        <f aca="false">IF($C245="","",IFERROR(INDEX(Gantt!$B$4:$B$33,MATCH($C245,Gantt!$C$4:$C$33,0)),""))</f>
        <v/>
      </c>
      <c r="E245" s="70"/>
      <c r="F245" s="70"/>
      <c r="G245" s="93" t="str">
        <f aca="false">IF($A245="","",DATE(YEAR($A245),MONTH($A245),1))</f>
        <v/>
      </c>
      <c r="H245" s="62"/>
    </row>
    <row r="246" customFormat="false" ht="15" hidden="false" customHeight="false" outlineLevel="0" collapsed="false">
      <c r="A246" s="89"/>
      <c r="B246" s="62"/>
      <c r="C246" s="62"/>
      <c r="D246" s="63" t="str">
        <f aca="false">IF($C246="","",IFERROR(INDEX(Gantt!$B$4:$B$33,MATCH($C246,Gantt!$C$4:$C$33,0)),""))</f>
        <v/>
      </c>
      <c r="E246" s="70"/>
      <c r="F246" s="70"/>
      <c r="G246" s="90" t="str">
        <f aca="false">IF($A246="","",DATE(YEAR($A246),MONTH($A246),1))</f>
        <v/>
      </c>
      <c r="H246" s="62"/>
    </row>
    <row r="247" customFormat="false" ht="15" hidden="false" customHeight="false" outlineLevel="0" collapsed="false">
      <c r="A247" s="89"/>
      <c r="B247" s="62"/>
      <c r="C247" s="62"/>
      <c r="D247" s="92" t="str">
        <f aca="false">IF($C247="","",IFERROR(INDEX(Gantt!$B$4:$B$33,MATCH($C247,Gantt!$C$4:$C$33,0)),""))</f>
        <v/>
      </c>
      <c r="E247" s="70"/>
      <c r="F247" s="70"/>
      <c r="G247" s="93" t="str">
        <f aca="false">IF($A247="","",DATE(YEAR($A247),MONTH($A247),1))</f>
        <v/>
      </c>
      <c r="H247" s="62"/>
    </row>
    <row r="248" customFormat="false" ht="15" hidden="false" customHeight="false" outlineLevel="0" collapsed="false">
      <c r="A248" s="89"/>
      <c r="B248" s="62"/>
      <c r="C248" s="62"/>
      <c r="D248" s="63" t="str">
        <f aca="false">IF($C248="","",IFERROR(INDEX(Gantt!$B$4:$B$33,MATCH($C248,Gantt!$C$4:$C$33,0)),""))</f>
        <v/>
      </c>
      <c r="E248" s="70"/>
      <c r="F248" s="70"/>
      <c r="G248" s="90" t="str">
        <f aca="false">IF($A248="","",DATE(YEAR($A248),MONTH($A248),1))</f>
        <v/>
      </c>
      <c r="H248" s="62"/>
    </row>
    <row r="249" customFormat="false" ht="15" hidden="false" customHeight="false" outlineLevel="0" collapsed="false">
      <c r="A249" s="89"/>
      <c r="B249" s="62"/>
      <c r="C249" s="62"/>
      <c r="D249" s="92" t="str">
        <f aca="false">IF($C249="","",IFERROR(INDEX(Gantt!$B$4:$B$33,MATCH($C249,Gantt!$C$4:$C$33,0)),""))</f>
        <v/>
      </c>
      <c r="E249" s="70"/>
      <c r="F249" s="70"/>
      <c r="G249" s="93" t="str">
        <f aca="false">IF($A249="","",DATE(YEAR($A249),MONTH($A249),1))</f>
        <v/>
      </c>
      <c r="H249" s="62"/>
    </row>
    <row r="250" customFormat="false" ht="15" hidden="false" customHeight="false" outlineLevel="0" collapsed="false">
      <c r="A250" s="89"/>
      <c r="B250" s="62"/>
      <c r="C250" s="62"/>
      <c r="D250" s="63" t="str">
        <f aca="false">IF($C250="","",IFERROR(INDEX(Gantt!$B$4:$B$33,MATCH($C250,Gantt!$C$4:$C$33,0)),""))</f>
        <v/>
      </c>
      <c r="E250" s="70"/>
      <c r="F250" s="70"/>
      <c r="G250" s="90" t="str">
        <f aca="false">IF($A250="","",DATE(YEAR($A250),MONTH($A250),1))</f>
        <v/>
      </c>
      <c r="H250" s="62"/>
    </row>
    <row r="251" customFormat="false" ht="15" hidden="false" customHeight="false" outlineLevel="0" collapsed="false">
      <c r="A251" s="89"/>
      <c r="B251" s="62"/>
      <c r="C251" s="62"/>
      <c r="D251" s="92" t="str">
        <f aca="false">IF($C251="","",IFERROR(INDEX(Gantt!$B$4:$B$33,MATCH($C251,Gantt!$C$4:$C$33,0)),""))</f>
        <v/>
      </c>
      <c r="E251" s="70"/>
      <c r="F251" s="70"/>
      <c r="G251" s="93" t="str">
        <f aca="false">IF($A251="","",DATE(YEAR($A251),MONTH($A251),1))</f>
        <v/>
      </c>
      <c r="H251" s="62"/>
    </row>
    <row r="252" customFormat="false" ht="15" hidden="false" customHeight="false" outlineLevel="0" collapsed="false">
      <c r="A252" s="89"/>
      <c r="B252" s="62"/>
      <c r="C252" s="62"/>
      <c r="D252" s="63" t="str">
        <f aca="false">IF($C252="","",IFERROR(INDEX(Gantt!$B$4:$B$33,MATCH($C252,Gantt!$C$4:$C$33,0)),""))</f>
        <v/>
      </c>
      <c r="E252" s="70"/>
      <c r="F252" s="70"/>
      <c r="G252" s="90" t="str">
        <f aca="false">IF($A252="","",DATE(YEAR($A252),MONTH($A252),1))</f>
        <v/>
      </c>
      <c r="H252" s="62"/>
    </row>
    <row r="253" customFormat="false" ht="15" hidden="false" customHeight="false" outlineLevel="0" collapsed="false">
      <c r="A253" s="89"/>
      <c r="B253" s="62"/>
      <c r="C253" s="62"/>
      <c r="D253" s="92" t="str">
        <f aca="false">IF($C253="","",IFERROR(INDEX(Gantt!$B$4:$B$33,MATCH($C253,Gantt!$C$4:$C$33,0)),""))</f>
        <v/>
      </c>
      <c r="E253" s="70"/>
      <c r="F253" s="70"/>
      <c r="G253" s="93" t="str">
        <f aca="false">IF($A253="","",DATE(YEAR($A253),MONTH($A253),1))</f>
        <v/>
      </c>
      <c r="H253" s="62"/>
    </row>
    <row r="254" customFormat="false" ht="15" hidden="false" customHeight="false" outlineLevel="0" collapsed="false">
      <c r="A254" s="89"/>
      <c r="B254" s="62"/>
      <c r="C254" s="62"/>
      <c r="D254" s="63" t="str">
        <f aca="false">IF($C254="","",IFERROR(INDEX(Gantt!$B$4:$B$33,MATCH($C254,Gantt!$C$4:$C$33,0)),""))</f>
        <v/>
      </c>
      <c r="E254" s="70"/>
      <c r="F254" s="70"/>
      <c r="G254" s="90" t="str">
        <f aca="false">IF($A254="","",DATE(YEAR($A254),MONTH($A254),1))</f>
        <v/>
      </c>
      <c r="H254" s="62"/>
    </row>
    <row r="255" customFormat="false" ht="15" hidden="false" customHeight="false" outlineLevel="0" collapsed="false">
      <c r="A255" s="89"/>
      <c r="B255" s="62"/>
      <c r="C255" s="62"/>
      <c r="D255" s="92" t="str">
        <f aca="false">IF($C255="","",IFERROR(INDEX(Gantt!$B$4:$B$33,MATCH($C255,Gantt!$C$4:$C$33,0)),""))</f>
        <v/>
      </c>
      <c r="E255" s="70"/>
      <c r="F255" s="70"/>
      <c r="G255" s="93" t="str">
        <f aca="false">IF($A255="","",DATE(YEAR($A255),MONTH($A255),1))</f>
        <v/>
      </c>
      <c r="H255" s="62"/>
    </row>
    <row r="256" customFormat="false" ht="15" hidden="false" customHeight="false" outlineLevel="0" collapsed="false">
      <c r="A256" s="89"/>
      <c r="B256" s="62"/>
      <c r="C256" s="62"/>
      <c r="D256" s="63" t="str">
        <f aca="false">IF($C256="","",IFERROR(INDEX(Gantt!$B$4:$B$33,MATCH($C256,Gantt!$C$4:$C$33,0)),""))</f>
        <v/>
      </c>
      <c r="E256" s="70"/>
      <c r="F256" s="70"/>
      <c r="G256" s="90" t="str">
        <f aca="false">IF($A256="","",DATE(YEAR($A256),MONTH($A256),1))</f>
        <v/>
      </c>
      <c r="H256" s="62"/>
    </row>
    <row r="257" customFormat="false" ht="15" hidden="false" customHeight="false" outlineLevel="0" collapsed="false">
      <c r="A257" s="89"/>
      <c r="B257" s="62"/>
      <c r="C257" s="62"/>
      <c r="D257" s="92" t="str">
        <f aca="false">IF($C257="","",IFERROR(INDEX(Gantt!$B$4:$B$33,MATCH($C257,Gantt!$C$4:$C$33,0)),""))</f>
        <v/>
      </c>
      <c r="E257" s="70"/>
      <c r="F257" s="70"/>
      <c r="G257" s="93" t="str">
        <f aca="false">IF($A257="","",DATE(YEAR($A257),MONTH($A257),1))</f>
        <v/>
      </c>
      <c r="H257" s="62"/>
    </row>
    <row r="258" customFormat="false" ht="15" hidden="false" customHeight="false" outlineLevel="0" collapsed="false">
      <c r="A258" s="89"/>
      <c r="B258" s="62"/>
      <c r="C258" s="62"/>
      <c r="D258" s="63" t="str">
        <f aca="false">IF($C258="","",IFERROR(INDEX(Gantt!$B$4:$B$33,MATCH($C258,Gantt!$C$4:$C$33,0)),""))</f>
        <v/>
      </c>
      <c r="E258" s="70"/>
      <c r="F258" s="70"/>
      <c r="G258" s="90" t="str">
        <f aca="false">IF($A258="","",DATE(YEAR($A258),MONTH($A258),1))</f>
        <v/>
      </c>
      <c r="H258" s="62"/>
    </row>
    <row r="259" customFormat="false" ht="15" hidden="false" customHeight="false" outlineLevel="0" collapsed="false">
      <c r="A259" s="89"/>
      <c r="B259" s="62"/>
      <c r="C259" s="62"/>
      <c r="D259" s="92" t="str">
        <f aca="false">IF($C259="","",IFERROR(INDEX(Gantt!$B$4:$B$33,MATCH($C259,Gantt!$C$4:$C$33,0)),""))</f>
        <v/>
      </c>
      <c r="E259" s="70"/>
      <c r="F259" s="70"/>
      <c r="G259" s="93" t="str">
        <f aca="false">IF($A259="","",DATE(YEAR($A259),MONTH($A259),1))</f>
        <v/>
      </c>
      <c r="H259" s="62"/>
    </row>
    <row r="260" customFormat="false" ht="15" hidden="false" customHeight="false" outlineLevel="0" collapsed="false">
      <c r="A260" s="89"/>
      <c r="B260" s="62"/>
      <c r="C260" s="62"/>
      <c r="D260" s="63" t="str">
        <f aca="false">IF($C260="","",IFERROR(INDEX(Gantt!$B$4:$B$33,MATCH($C260,Gantt!$C$4:$C$33,0)),""))</f>
        <v/>
      </c>
      <c r="E260" s="70"/>
      <c r="F260" s="70"/>
      <c r="G260" s="90" t="str">
        <f aca="false">IF($A260="","",DATE(YEAR($A260),MONTH($A260),1))</f>
        <v/>
      </c>
      <c r="H260" s="62"/>
    </row>
    <row r="261" customFormat="false" ht="15" hidden="false" customHeight="false" outlineLevel="0" collapsed="false">
      <c r="A261" s="89"/>
      <c r="B261" s="62"/>
      <c r="C261" s="62"/>
      <c r="D261" s="92" t="str">
        <f aca="false">IF($C261="","",IFERROR(INDEX(Gantt!$B$4:$B$33,MATCH($C261,Gantt!$C$4:$C$33,0)),""))</f>
        <v/>
      </c>
      <c r="E261" s="70"/>
      <c r="F261" s="70"/>
      <c r="G261" s="93" t="str">
        <f aca="false">IF($A261="","",DATE(YEAR($A261),MONTH($A261),1))</f>
        <v/>
      </c>
      <c r="H261" s="62"/>
    </row>
    <row r="262" customFormat="false" ht="15" hidden="false" customHeight="false" outlineLevel="0" collapsed="false">
      <c r="A262" s="89"/>
      <c r="B262" s="62"/>
      <c r="C262" s="62"/>
      <c r="D262" s="63" t="str">
        <f aca="false">IF($C262="","",IFERROR(INDEX(Gantt!$B$4:$B$33,MATCH($C262,Gantt!$C$4:$C$33,0)),""))</f>
        <v/>
      </c>
      <c r="E262" s="70"/>
      <c r="F262" s="70"/>
      <c r="G262" s="90" t="str">
        <f aca="false">IF($A262="","",DATE(YEAR($A262),MONTH($A262),1))</f>
        <v/>
      </c>
      <c r="H262" s="62"/>
    </row>
    <row r="263" customFormat="false" ht="15" hidden="false" customHeight="false" outlineLevel="0" collapsed="false">
      <c r="A263" s="89"/>
      <c r="B263" s="62"/>
      <c r="C263" s="62"/>
      <c r="D263" s="92" t="str">
        <f aca="false">IF($C263="","",IFERROR(INDEX(Gantt!$B$4:$B$33,MATCH($C263,Gantt!$C$4:$C$33,0)),""))</f>
        <v/>
      </c>
      <c r="E263" s="70"/>
      <c r="F263" s="70"/>
      <c r="G263" s="93" t="str">
        <f aca="false">IF($A263="","",DATE(YEAR($A263),MONTH($A263),1))</f>
        <v/>
      </c>
      <c r="H263" s="62"/>
    </row>
    <row r="264" customFormat="false" ht="15" hidden="false" customHeight="false" outlineLevel="0" collapsed="false">
      <c r="A264" s="89"/>
      <c r="B264" s="62"/>
      <c r="C264" s="62"/>
      <c r="D264" s="63" t="str">
        <f aca="false">IF($C264="","",IFERROR(INDEX(Gantt!$B$4:$B$33,MATCH($C264,Gantt!$C$4:$C$33,0)),""))</f>
        <v/>
      </c>
      <c r="E264" s="70"/>
      <c r="F264" s="70"/>
      <c r="G264" s="90" t="str">
        <f aca="false">IF($A264="","",DATE(YEAR($A264),MONTH($A264),1))</f>
        <v/>
      </c>
      <c r="H264" s="62"/>
    </row>
    <row r="265" customFormat="false" ht="15" hidden="false" customHeight="false" outlineLevel="0" collapsed="false">
      <c r="A265" s="89"/>
      <c r="B265" s="62"/>
      <c r="C265" s="62"/>
      <c r="D265" s="92" t="str">
        <f aca="false">IF($C265="","",IFERROR(INDEX(Gantt!$B$4:$B$33,MATCH($C265,Gantt!$C$4:$C$33,0)),""))</f>
        <v/>
      </c>
      <c r="E265" s="70"/>
      <c r="F265" s="70"/>
      <c r="G265" s="93" t="str">
        <f aca="false">IF($A265="","",DATE(YEAR($A265),MONTH($A265),1))</f>
        <v/>
      </c>
      <c r="H265" s="62"/>
    </row>
    <row r="266" customFormat="false" ht="15" hidden="false" customHeight="false" outlineLevel="0" collapsed="false">
      <c r="A266" s="89"/>
      <c r="B266" s="62"/>
      <c r="C266" s="62"/>
      <c r="D266" s="63" t="str">
        <f aca="false">IF($C266="","",IFERROR(INDEX(Gantt!$B$4:$B$33,MATCH($C266,Gantt!$C$4:$C$33,0)),""))</f>
        <v/>
      </c>
      <c r="E266" s="70"/>
      <c r="F266" s="70"/>
      <c r="G266" s="90" t="str">
        <f aca="false">IF($A266="","",DATE(YEAR($A266),MONTH($A266),1))</f>
        <v/>
      </c>
      <c r="H266" s="62"/>
    </row>
    <row r="267" customFormat="false" ht="15" hidden="false" customHeight="false" outlineLevel="0" collapsed="false">
      <c r="A267" s="89"/>
      <c r="B267" s="62"/>
      <c r="C267" s="62"/>
      <c r="D267" s="92" t="str">
        <f aca="false">IF($C267="","",IFERROR(INDEX(Gantt!$B$4:$B$33,MATCH($C267,Gantt!$C$4:$C$33,0)),""))</f>
        <v/>
      </c>
      <c r="E267" s="70"/>
      <c r="F267" s="70"/>
      <c r="G267" s="93" t="str">
        <f aca="false">IF($A267="","",DATE(YEAR($A267),MONTH($A267),1))</f>
        <v/>
      </c>
      <c r="H267" s="62"/>
    </row>
    <row r="268" customFormat="false" ht="15" hidden="false" customHeight="false" outlineLevel="0" collapsed="false">
      <c r="A268" s="89"/>
      <c r="B268" s="62"/>
      <c r="C268" s="62"/>
      <c r="D268" s="63" t="str">
        <f aca="false">IF($C268="","",IFERROR(INDEX(Gantt!$B$4:$B$33,MATCH($C268,Gantt!$C$4:$C$33,0)),""))</f>
        <v/>
      </c>
      <c r="E268" s="70"/>
      <c r="F268" s="70"/>
      <c r="G268" s="90" t="str">
        <f aca="false">IF($A268="","",DATE(YEAR($A268),MONTH($A268),1))</f>
        <v/>
      </c>
      <c r="H268" s="62"/>
    </row>
    <row r="269" customFormat="false" ht="15" hidden="false" customHeight="false" outlineLevel="0" collapsed="false">
      <c r="A269" s="89"/>
      <c r="B269" s="62"/>
      <c r="C269" s="62"/>
      <c r="D269" s="92" t="str">
        <f aca="false">IF($C269="","",IFERROR(INDEX(Gantt!$B$4:$B$33,MATCH($C269,Gantt!$C$4:$C$33,0)),""))</f>
        <v/>
      </c>
      <c r="E269" s="70"/>
      <c r="F269" s="70"/>
      <c r="G269" s="93" t="str">
        <f aca="false">IF($A269="","",DATE(YEAR($A269),MONTH($A269),1))</f>
        <v/>
      </c>
      <c r="H269" s="62"/>
    </row>
    <row r="270" customFormat="false" ht="15" hidden="false" customHeight="false" outlineLevel="0" collapsed="false">
      <c r="A270" s="89"/>
      <c r="B270" s="62"/>
      <c r="C270" s="62"/>
      <c r="D270" s="63" t="str">
        <f aca="false">IF($C270="","",IFERROR(INDEX(Gantt!$B$4:$B$33,MATCH($C270,Gantt!$C$4:$C$33,0)),""))</f>
        <v/>
      </c>
      <c r="E270" s="70"/>
      <c r="F270" s="70"/>
      <c r="G270" s="90" t="str">
        <f aca="false">IF($A270="","",DATE(YEAR($A270),MONTH($A270),1))</f>
        <v/>
      </c>
      <c r="H270" s="62"/>
    </row>
    <row r="271" customFormat="false" ht="15" hidden="false" customHeight="false" outlineLevel="0" collapsed="false">
      <c r="A271" s="89"/>
      <c r="B271" s="62"/>
      <c r="C271" s="62"/>
      <c r="D271" s="92" t="str">
        <f aca="false">IF($C271="","",IFERROR(INDEX(Gantt!$B$4:$B$33,MATCH($C271,Gantt!$C$4:$C$33,0)),""))</f>
        <v/>
      </c>
      <c r="E271" s="70"/>
      <c r="F271" s="70"/>
      <c r="G271" s="93" t="str">
        <f aca="false">IF($A271="","",DATE(YEAR($A271),MONTH($A271),1))</f>
        <v/>
      </c>
      <c r="H271" s="62"/>
    </row>
    <row r="272" customFormat="false" ht="15" hidden="false" customHeight="false" outlineLevel="0" collapsed="false">
      <c r="A272" s="89"/>
      <c r="B272" s="62"/>
      <c r="C272" s="62"/>
      <c r="D272" s="63" t="str">
        <f aca="false">IF($C272="","",IFERROR(INDEX(Gantt!$B$4:$B$33,MATCH($C272,Gantt!$C$4:$C$33,0)),""))</f>
        <v/>
      </c>
      <c r="E272" s="70"/>
      <c r="F272" s="70"/>
      <c r="G272" s="90" t="str">
        <f aca="false">IF($A272="","",DATE(YEAR($A272),MONTH($A272),1))</f>
        <v/>
      </c>
      <c r="H272" s="62"/>
    </row>
    <row r="273" customFormat="false" ht="15" hidden="false" customHeight="false" outlineLevel="0" collapsed="false">
      <c r="A273" s="89"/>
      <c r="B273" s="62"/>
      <c r="C273" s="62"/>
      <c r="D273" s="92" t="str">
        <f aca="false">IF($C273="","",IFERROR(INDEX(Gantt!$B$4:$B$33,MATCH($C273,Gantt!$C$4:$C$33,0)),""))</f>
        <v/>
      </c>
      <c r="E273" s="70"/>
      <c r="F273" s="70"/>
      <c r="G273" s="93" t="str">
        <f aca="false">IF($A273="","",DATE(YEAR($A273),MONTH($A273),1))</f>
        <v/>
      </c>
      <c r="H273" s="62"/>
    </row>
    <row r="274" customFormat="false" ht="15" hidden="false" customHeight="false" outlineLevel="0" collapsed="false">
      <c r="A274" s="89"/>
      <c r="B274" s="62"/>
      <c r="C274" s="62"/>
      <c r="D274" s="63" t="str">
        <f aca="false">IF($C274="","",IFERROR(INDEX(Gantt!$B$4:$B$33,MATCH($C274,Gantt!$C$4:$C$33,0)),""))</f>
        <v/>
      </c>
      <c r="E274" s="70"/>
      <c r="F274" s="70"/>
      <c r="G274" s="90" t="str">
        <f aca="false">IF($A274="","",DATE(YEAR($A274),MONTH($A274),1))</f>
        <v/>
      </c>
      <c r="H274" s="62"/>
    </row>
    <row r="275" customFormat="false" ht="15" hidden="false" customHeight="false" outlineLevel="0" collapsed="false">
      <c r="A275" s="89"/>
      <c r="B275" s="62"/>
      <c r="C275" s="62"/>
      <c r="D275" s="92" t="str">
        <f aca="false">IF($C275="","",IFERROR(INDEX(Gantt!$B$4:$B$33,MATCH($C275,Gantt!$C$4:$C$33,0)),""))</f>
        <v/>
      </c>
      <c r="E275" s="70"/>
      <c r="F275" s="70"/>
      <c r="G275" s="93" t="str">
        <f aca="false">IF($A275="","",DATE(YEAR($A275),MONTH($A275),1))</f>
        <v/>
      </c>
      <c r="H275" s="62"/>
    </row>
    <row r="276" customFormat="false" ht="15" hidden="false" customHeight="false" outlineLevel="0" collapsed="false">
      <c r="A276" s="89"/>
      <c r="B276" s="62"/>
      <c r="C276" s="62"/>
      <c r="D276" s="63" t="str">
        <f aca="false">IF($C276="","",IFERROR(INDEX(Gantt!$B$4:$B$33,MATCH($C276,Gantt!$C$4:$C$33,0)),""))</f>
        <v/>
      </c>
      <c r="E276" s="70"/>
      <c r="F276" s="70"/>
      <c r="G276" s="90" t="str">
        <f aca="false">IF($A276="","",DATE(YEAR($A276),MONTH($A276),1))</f>
        <v/>
      </c>
      <c r="H276" s="62"/>
    </row>
    <row r="277" customFormat="false" ht="15" hidden="false" customHeight="false" outlineLevel="0" collapsed="false">
      <c r="A277" s="89"/>
      <c r="B277" s="62"/>
      <c r="C277" s="62"/>
      <c r="D277" s="92" t="str">
        <f aca="false">IF($C277="","",IFERROR(INDEX(Gantt!$B$4:$B$33,MATCH($C277,Gantt!$C$4:$C$33,0)),""))</f>
        <v/>
      </c>
      <c r="E277" s="70"/>
      <c r="F277" s="70"/>
      <c r="G277" s="93" t="str">
        <f aca="false">IF($A277="","",DATE(YEAR($A277),MONTH($A277),1))</f>
        <v/>
      </c>
      <c r="H277" s="62"/>
    </row>
    <row r="278" customFormat="false" ht="15" hidden="false" customHeight="false" outlineLevel="0" collapsed="false">
      <c r="A278" s="89"/>
      <c r="B278" s="62"/>
      <c r="C278" s="62"/>
      <c r="D278" s="63" t="str">
        <f aca="false">IF($C278="","",IFERROR(INDEX(Gantt!$B$4:$B$33,MATCH($C278,Gantt!$C$4:$C$33,0)),""))</f>
        <v/>
      </c>
      <c r="E278" s="70"/>
      <c r="F278" s="70"/>
      <c r="G278" s="90" t="str">
        <f aca="false">IF($A278="","",DATE(YEAR($A278),MONTH($A278),1))</f>
        <v/>
      </c>
      <c r="H278" s="62"/>
    </row>
    <row r="279" customFormat="false" ht="15" hidden="false" customHeight="false" outlineLevel="0" collapsed="false">
      <c r="A279" s="89"/>
      <c r="B279" s="62"/>
      <c r="C279" s="62"/>
      <c r="D279" s="92" t="str">
        <f aca="false">IF($C279="","",IFERROR(INDEX(Gantt!$B$4:$B$33,MATCH($C279,Gantt!$C$4:$C$33,0)),""))</f>
        <v/>
      </c>
      <c r="E279" s="70"/>
      <c r="F279" s="70"/>
      <c r="G279" s="93" t="str">
        <f aca="false">IF($A279="","",DATE(YEAR($A279),MONTH($A279),1))</f>
        <v/>
      </c>
      <c r="H279" s="62"/>
    </row>
    <row r="280" customFormat="false" ht="15" hidden="false" customHeight="false" outlineLevel="0" collapsed="false">
      <c r="A280" s="89"/>
      <c r="B280" s="62"/>
      <c r="C280" s="62"/>
      <c r="D280" s="63" t="str">
        <f aca="false">IF($C280="","",IFERROR(INDEX(Gantt!$B$4:$B$33,MATCH($C280,Gantt!$C$4:$C$33,0)),""))</f>
        <v/>
      </c>
      <c r="E280" s="70"/>
      <c r="F280" s="70"/>
      <c r="G280" s="90" t="str">
        <f aca="false">IF($A280="","",DATE(YEAR($A280),MONTH($A280),1))</f>
        <v/>
      </c>
      <c r="H280" s="62"/>
    </row>
    <row r="281" customFormat="false" ht="15" hidden="false" customHeight="false" outlineLevel="0" collapsed="false">
      <c r="A281" s="89"/>
      <c r="B281" s="62"/>
      <c r="C281" s="62"/>
      <c r="D281" s="92" t="str">
        <f aca="false">IF($C281="","",IFERROR(INDEX(Gantt!$B$4:$B$33,MATCH($C281,Gantt!$C$4:$C$33,0)),""))</f>
        <v/>
      </c>
      <c r="E281" s="70"/>
      <c r="F281" s="70"/>
      <c r="G281" s="93" t="str">
        <f aca="false">IF($A281="","",DATE(YEAR($A281),MONTH($A281),1))</f>
        <v/>
      </c>
      <c r="H281" s="62"/>
    </row>
    <row r="282" customFormat="false" ht="15" hidden="false" customHeight="false" outlineLevel="0" collapsed="false">
      <c r="A282" s="89"/>
      <c r="B282" s="62"/>
      <c r="C282" s="62"/>
      <c r="D282" s="63" t="str">
        <f aca="false">IF($C282="","",IFERROR(INDEX(Gantt!$B$4:$B$33,MATCH($C282,Gantt!$C$4:$C$33,0)),""))</f>
        <v/>
      </c>
      <c r="E282" s="70"/>
      <c r="F282" s="70"/>
      <c r="G282" s="90" t="str">
        <f aca="false">IF($A282="","",DATE(YEAR($A282),MONTH($A282),1))</f>
        <v/>
      </c>
      <c r="H282" s="62"/>
    </row>
    <row r="283" customFormat="false" ht="15" hidden="false" customHeight="false" outlineLevel="0" collapsed="false">
      <c r="A283" s="89"/>
      <c r="B283" s="62"/>
      <c r="C283" s="62"/>
      <c r="D283" s="92" t="str">
        <f aca="false">IF($C283="","",IFERROR(INDEX(Gantt!$B$4:$B$33,MATCH($C283,Gantt!$C$4:$C$33,0)),""))</f>
        <v/>
      </c>
      <c r="E283" s="70"/>
      <c r="F283" s="70"/>
      <c r="G283" s="93" t="str">
        <f aca="false">IF($A283="","",DATE(YEAR($A283),MONTH($A283),1))</f>
        <v/>
      </c>
      <c r="H283" s="62"/>
    </row>
    <row r="284" customFormat="false" ht="15" hidden="false" customHeight="false" outlineLevel="0" collapsed="false">
      <c r="A284" s="89"/>
      <c r="B284" s="62"/>
      <c r="C284" s="62"/>
      <c r="D284" s="63" t="str">
        <f aca="false">IF($C284="","",IFERROR(INDEX(Gantt!$B$4:$B$33,MATCH($C284,Gantt!$C$4:$C$33,0)),""))</f>
        <v/>
      </c>
      <c r="E284" s="70"/>
      <c r="F284" s="70"/>
      <c r="G284" s="90" t="str">
        <f aca="false">IF($A284="","",DATE(YEAR($A284),MONTH($A284),1))</f>
        <v/>
      </c>
      <c r="H284" s="62"/>
    </row>
    <row r="285" customFormat="false" ht="15" hidden="false" customHeight="false" outlineLevel="0" collapsed="false">
      <c r="A285" s="89"/>
      <c r="B285" s="62"/>
      <c r="C285" s="62"/>
      <c r="D285" s="92" t="str">
        <f aca="false">IF($C285="","",IFERROR(INDEX(Gantt!$B$4:$B$33,MATCH($C285,Gantt!$C$4:$C$33,0)),""))</f>
        <v/>
      </c>
      <c r="E285" s="70"/>
      <c r="F285" s="70"/>
      <c r="G285" s="93" t="str">
        <f aca="false">IF($A285="","",DATE(YEAR($A285),MONTH($A285),1))</f>
        <v/>
      </c>
      <c r="H285" s="62"/>
    </row>
    <row r="286" customFormat="false" ht="15" hidden="false" customHeight="false" outlineLevel="0" collapsed="false">
      <c r="A286" s="89"/>
      <c r="B286" s="62"/>
      <c r="C286" s="62"/>
      <c r="D286" s="63" t="str">
        <f aca="false">IF($C286="","",IFERROR(INDEX(Gantt!$B$4:$B$33,MATCH($C286,Gantt!$C$4:$C$33,0)),""))</f>
        <v/>
      </c>
      <c r="E286" s="70"/>
      <c r="F286" s="70"/>
      <c r="G286" s="90" t="str">
        <f aca="false">IF($A286="","",DATE(YEAR($A286),MONTH($A286),1))</f>
        <v/>
      </c>
      <c r="H286" s="62"/>
    </row>
    <row r="287" customFormat="false" ht="15" hidden="false" customHeight="false" outlineLevel="0" collapsed="false">
      <c r="A287" s="89"/>
      <c r="B287" s="62"/>
      <c r="C287" s="62"/>
      <c r="D287" s="92" t="str">
        <f aca="false">IF($C287="","",IFERROR(INDEX(Gantt!$B$4:$B$33,MATCH($C287,Gantt!$C$4:$C$33,0)),""))</f>
        <v/>
      </c>
      <c r="E287" s="70"/>
      <c r="F287" s="70"/>
      <c r="G287" s="93" t="str">
        <f aca="false">IF($A287="","",DATE(YEAR($A287),MONTH($A287),1))</f>
        <v/>
      </c>
      <c r="H287" s="62"/>
    </row>
    <row r="288" customFormat="false" ht="15" hidden="false" customHeight="false" outlineLevel="0" collapsed="false">
      <c r="A288" s="89"/>
      <c r="B288" s="62"/>
      <c r="C288" s="62"/>
      <c r="D288" s="63" t="str">
        <f aca="false">IF($C288="","",IFERROR(INDEX(Gantt!$B$4:$B$33,MATCH($C288,Gantt!$C$4:$C$33,0)),""))</f>
        <v/>
      </c>
      <c r="E288" s="70"/>
      <c r="F288" s="70"/>
      <c r="G288" s="90" t="str">
        <f aca="false">IF($A288="","",DATE(YEAR($A288),MONTH($A288),1))</f>
        <v/>
      </c>
      <c r="H288" s="62"/>
    </row>
    <row r="289" customFormat="false" ht="15" hidden="false" customHeight="false" outlineLevel="0" collapsed="false">
      <c r="A289" s="89"/>
      <c r="B289" s="62"/>
      <c r="C289" s="62"/>
      <c r="D289" s="92" t="str">
        <f aca="false">IF($C289="","",IFERROR(INDEX(Gantt!$B$4:$B$33,MATCH($C289,Gantt!$C$4:$C$33,0)),""))</f>
        <v/>
      </c>
      <c r="E289" s="70"/>
      <c r="F289" s="70"/>
      <c r="G289" s="93" t="str">
        <f aca="false">IF($A289="","",DATE(YEAR($A289),MONTH($A289),1))</f>
        <v/>
      </c>
      <c r="H289" s="62"/>
    </row>
    <row r="290" customFormat="false" ht="15" hidden="false" customHeight="false" outlineLevel="0" collapsed="false">
      <c r="A290" s="89"/>
      <c r="B290" s="62"/>
      <c r="C290" s="62"/>
      <c r="D290" s="63" t="str">
        <f aca="false">IF($C290="","",IFERROR(INDEX(Gantt!$B$4:$B$33,MATCH($C290,Gantt!$C$4:$C$33,0)),""))</f>
        <v/>
      </c>
      <c r="E290" s="70"/>
      <c r="F290" s="70"/>
      <c r="G290" s="90" t="str">
        <f aca="false">IF($A290="","",DATE(YEAR($A290),MONTH($A290),1))</f>
        <v/>
      </c>
      <c r="H290" s="62"/>
    </row>
    <row r="291" customFormat="false" ht="15" hidden="false" customHeight="false" outlineLevel="0" collapsed="false">
      <c r="A291" s="89"/>
      <c r="B291" s="62"/>
      <c r="C291" s="62"/>
      <c r="D291" s="92" t="str">
        <f aca="false">IF($C291="","",IFERROR(INDEX(Gantt!$B$4:$B$33,MATCH($C291,Gantt!$C$4:$C$33,0)),""))</f>
        <v/>
      </c>
      <c r="E291" s="70"/>
      <c r="F291" s="70"/>
      <c r="G291" s="93" t="str">
        <f aca="false">IF($A291="","",DATE(YEAR($A291),MONTH($A291),1))</f>
        <v/>
      </c>
      <c r="H291" s="62"/>
    </row>
    <row r="292" customFormat="false" ht="15" hidden="false" customHeight="false" outlineLevel="0" collapsed="false">
      <c r="A292" s="89"/>
      <c r="B292" s="62"/>
      <c r="C292" s="62"/>
      <c r="D292" s="63" t="str">
        <f aca="false">IF($C292="","",IFERROR(INDEX(Gantt!$B$4:$B$33,MATCH($C292,Gantt!$C$4:$C$33,0)),""))</f>
        <v/>
      </c>
      <c r="E292" s="70"/>
      <c r="F292" s="70"/>
      <c r="G292" s="90" t="str">
        <f aca="false">IF($A292="","",DATE(YEAR($A292),MONTH($A292),1))</f>
        <v/>
      </c>
      <c r="H292" s="62"/>
    </row>
    <row r="293" customFormat="false" ht="15" hidden="false" customHeight="false" outlineLevel="0" collapsed="false">
      <c r="A293" s="89"/>
      <c r="B293" s="62"/>
      <c r="C293" s="62"/>
      <c r="D293" s="92" t="str">
        <f aca="false">IF($C293="","",IFERROR(INDEX(Gantt!$B$4:$B$33,MATCH($C293,Gantt!$C$4:$C$33,0)),""))</f>
        <v/>
      </c>
      <c r="E293" s="70"/>
      <c r="F293" s="70"/>
      <c r="G293" s="93" t="str">
        <f aca="false">IF($A293="","",DATE(YEAR($A293),MONTH($A293),1))</f>
        <v/>
      </c>
      <c r="H293" s="62"/>
    </row>
    <row r="294" customFormat="false" ht="15" hidden="false" customHeight="false" outlineLevel="0" collapsed="false">
      <c r="A294" s="89"/>
      <c r="B294" s="62"/>
      <c r="C294" s="62"/>
      <c r="D294" s="63" t="str">
        <f aca="false">IF($C294="","",IFERROR(INDEX(Gantt!$B$4:$B$33,MATCH($C294,Gantt!$C$4:$C$33,0)),""))</f>
        <v/>
      </c>
      <c r="E294" s="70"/>
      <c r="F294" s="70"/>
      <c r="G294" s="90" t="str">
        <f aca="false">IF($A294="","",DATE(YEAR($A294),MONTH($A294),1))</f>
        <v/>
      </c>
      <c r="H294" s="62"/>
    </row>
    <row r="295" customFormat="false" ht="15" hidden="false" customHeight="false" outlineLevel="0" collapsed="false">
      <c r="A295" s="89"/>
      <c r="B295" s="62"/>
      <c r="C295" s="62"/>
      <c r="D295" s="92" t="str">
        <f aca="false">IF($C295="","",IFERROR(INDEX(Gantt!$B$4:$B$33,MATCH($C295,Gantt!$C$4:$C$33,0)),""))</f>
        <v/>
      </c>
      <c r="E295" s="70"/>
      <c r="F295" s="70"/>
      <c r="G295" s="93" t="str">
        <f aca="false">IF($A295="","",DATE(YEAR($A295),MONTH($A295),1))</f>
        <v/>
      </c>
      <c r="H295" s="62"/>
    </row>
    <row r="296" customFormat="false" ht="15" hidden="false" customHeight="false" outlineLevel="0" collapsed="false">
      <c r="A296" s="89"/>
      <c r="B296" s="62"/>
      <c r="C296" s="62"/>
      <c r="D296" s="63" t="str">
        <f aca="false">IF($C296="","",IFERROR(INDEX(Gantt!$B$4:$B$33,MATCH($C296,Gantt!$C$4:$C$33,0)),""))</f>
        <v/>
      </c>
      <c r="E296" s="70"/>
      <c r="F296" s="70"/>
      <c r="G296" s="90" t="str">
        <f aca="false">IF($A296="","",DATE(YEAR($A296),MONTH($A296),1))</f>
        <v/>
      </c>
      <c r="H296" s="62"/>
    </row>
    <row r="297" customFormat="false" ht="15" hidden="false" customHeight="false" outlineLevel="0" collapsed="false">
      <c r="A297" s="89"/>
      <c r="B297" s="62"/>
      <c r="C297" s="62"/>
      <c r="D297" s="92" t="str">
        <f aca="false">IF($C297="","",IFERROR(INDEX(Gantt!$B$4:$B$33,MATCH($C297,Gantt!$C$4:$C$33,0)),""))</f>
        <v/>
      </c>
      <c r="E297" s="70"/>
      <c r="F297" s="70"/>
      <c r="G297" s="93" t="str">
        <f aca="false">IF($A297="","",DATE(YEAR($A297),MONTH($A297),1))</f>
        <v/>
      </c>
      <c r="H297" s="62"/>
    </row>
    <row r="298" customFormat="false" ht="15" hidden="false" customHeight="false" outlineLevel="0" collapsed="false">
      <c r="A298" s="89"/>
      <c r="B298" s="62"/>
      <c r="C298" s="62"/>
      <c r="D298" s="63" t="str">
        <f aca="false">IF($C298="","",IFERROR(INDEX(Gantt!$B$4:$B$33,MATCH($C298,Gantt!$C$4:$C$33,0)),""))</f>
        <v/>
      </c>
      <c r="E298" s="70"/>
      <c r="F298" s="70"/>
      <c r="G298" s="90" t="str">
        <f aca="false">IF($A298="","",DATE(YEAR($A298),MONTH($A298),1))</f>
        <v/>
      </c>
      <c r="H298" s="62"/>
    </row>
    <row r="299" customFormat="false" ht="15" hidden="false" customHeight="false" outlineLevel="0" collapsed="false">
      <c r="A299" s="89"/>
      <c r="B299" s="62"/>
      <c r="C299" s="62"/>
      <c r="D299" s="92" t="str">
        <f aca="false">IF($C299="","",IFERROR(INDEX(Gantt!$B$4:$B$33,MATCH($C299,Gantt!$C$4:$C$33,0)),""))</f>
        <v/>
      </c>
      <c r="E299" s="70"/>
      <c r="F299" s="70"/>
      <c r="G299" s="93" t="str">
        <f aca="false">IF($A299="","",DATE(YEAR($A299),MONTH($A299),1))</f>
        <v/>
      </c>
      <c r="H299" s="62"/>
    </row>
    <row r="300" customFormat="false" ht="15" hidden="false" customHeight="false" outlineLevel="0" collapsed="false">
      <c r="A300" s="89"/>
      <c r="B300" s="62"/>
      <c r="C300" s="62"/>
      <c r="D300" s="63" t="str">
        <f aca="false">IF($C300="","",IFERROR(INDEX(Gantt!$B$4:$B$33,MATCH($C300,Gantt!$C$4:$C$33,0)),""))</f>
        <v/>
      </c>
      <c r="E300" s="70"/>
      <c r="F300" s="70"/>
      <c r="G300" s="90" t="str">
        <f aca="false">IF($A300="","",DATE(YEAR($A300),MONTH($A300),1))</f>
        <v/>
      </c>
      <c r="H300" s="62"/>
    </row>
    <row r="301" customFormat="false" ht="15" hidden="false" customHeight="false" outlineLevel="0" collapsed="false">
      <c r="A301" s="89"/>
      <c r="B301" s="62"/>
      <c r="C301" s="62"/>
      <c r="D301" s="92" t="str">
        <f aca="false">IF($C301="","",IFERROR(INDEX(Gantt!$B$4:$B$33,MATCH($C301,Gantt!$C$4:$C$33,0)),""))</f>
        <v/>
      </c>
      <c r="E301" s="70"/>
      <c r="F301" s="70"/>
      <c r="G301" s="93" t="str">
        <f aca="false">IF($A301="","",DATE(YEAR($A301),MONTH($A301),1))</f>
        <v/>
      </c>
      <c r="H301" s="62"/>
    </row>
    <row r="302" customFormat="false" ht="15" hidden="false" customHeight="false" outlineLevel="0" collapsed="false">
      <c r="A302" s="89"/>
      <c r="B302" s="62"/>
      <c r="C302" s="62"/>
      <c r="D302" s="63" t="str">
        <f aca="false">IF($C302="","",IFERROR(INDEX(Gantt!$B$4:$B$33,MATCH($C302,Gantt!$C$4:$C$33,0)),""))</f>
        <v/>
      </c>
      <c r="E302" s="70"/>
      <c r="F302" s="70"/>
      <c r="G302" s="90" t="str">
        <f aca="false">IF($A302="","",DATE(YEAR($A302),MONTH($A302),1))</f>
        <v/>
      </c>
      <c r="H302" s="62"/>
    </row>
    <row r="303" customFormat="false" ht="15" hidden="false" customHeight="false" outlineLevel="0" collapsed="false">
      <c r="A303" s="89"/>
      <c r="B303" s="62"/>
      <c r="C303" s="62"/>
      <c r="D303" s="92" t="str">
        <f aca="false">IF($C303="","",IFERROR(INDEX(Gantt!$B$4:$B$33,MATCH($C303,Gantt!$C$4:$C$33,0)),""))</f>
        <v/>
      </c>
      <c r="E303" s="70"/>
      <c r="F303" s="70"/>
      <c r="G303" s="93" t="str">
        <f aca="false">IF($A303="","",DATE(YEAR($A303),MONTH($A303),1))</f>
        <v/>
      </c>
      <c r="H303" s="62"/>
    </row>
    <row r="304" customFormat="false" ht="15" hidden="false" customHeight="false" outlineLevel="0" collapsed="false">
      <c r="A304" s="102" t="s">
        <v>103</v>
      </c>
      <c r="B304" s="102"/>
      <c r="C304" s="102"/>
      <c r="D304" s="103"/>
      <c r="E304" s="103"/>
      <c r="F304" s="103" t="n">
        <f aca="false">SUM(F4:F303)</f>
        <v>143</v>
      </c>
      <c r="G304" s="103"/>
      <c r="H304" s="103"/>
    </row>
  </sheetData>
  <mergeCells count="1">
    <mergeCell ref="A1:H1"/>
  </mergeCells>
  <conditionalFormatting sqref="N4">
    <cfRule type="expression" priority="2" aboveAverage="0" equalAverage="0" bottom="0" percent="0" rank="0" text="" dxfId="3">
      <formula>AND(ISNUMBER(N4),N4&lt;0)</formula>
    </cfRule>
    <cfRule type="expression" priority="3" aboveAverage="0" equalAverage="0" bottom="0" percent="0" rank="0" text="" dxfId="75">
      <formula>AND(ISNUMBER(N4),N4&gt;=0)</formula>
    </cfRule>
  </conditionalFormatting>
  <conditionalFormatting sqref="O4">
    <cfRule type="expression" priority="4" aboveAverage="0" equalAverage="0" bottom="0" percent="0" rank="0" text="" dxfId="3">
      <formula>AND(ISNUMBER(O4),O4&gt;1)</formula>
    </cfRule>
    <cfRule type="expression" priority="5" aboveAverage="0" equalAverage="0" bottom="0" percent="0" rank="0" text="" dxfId="74">
      <formula>AND(ISNUMBER(O4),O4&gt;0.8,O4&lt;=1)</formula>
    </cfRule>
  </conditionalFormatting>
  <conditionalFormatting sqref="N5">
    <cfRule type="expression" priority="6" aboveAverage="0" equalAverage="0" bottom="0" percent="0" rank="0" text="" dxfId="3">
      <formula>AND(ISNUMBER(N5),N5&lt;0)</formula>
    </cfRule>
    <cfRule type="expression" priority="7" aboveAverage="0" equalAverage="0" bottom="0" percent="0" rank="0" text="" dxfId="75">
      <formula>AND(ISNUMBER(N5),N5&gt;=0)</formula>
    </cfRule>
  </conditionalFormatting>
  <conditionalFormatting sqref="O5">
    <cfRule type="expression" priority="8" aboveAverage="0" equalAverage="0" bottom="0" percent="0" rank="0" text="" dxfId="3">
      <formula>AND(ISNUMBER(O5),O5&gt;1)</formula>
    </cfRule>
    <cfRule type="expression" priority="9" aboveAverage="0" equalAverage="0" bottom="0" percent="0" rank="0" text="" dxfId="74">
      <formula>AND(ISNUMBER(O5),O5&gt;0.8,O5&lt;=1)</formula>
    </cfRule>
  </conditionalFormatting>
  <conditionalFormatting sqref="N6">
    <cfRule type="expression" priority="10" aboveAverage="0" equalAverage="0" bottom="0" percent="0" rank="0" text="" dxfId="3">
      <formula>AND(ISNUMBER(N6),N6&lt;0)</formula>
    </cfRule>
    <cfRule type="expression" priority="11" aboveAverage="0" equalAverage="0" bottom="0" percent="0" rank="0" text="" dxfId="75">
      <formula>AND(ISNUMBER(N6),N6&gt;=0)</formula>
    </cfRule>
  </conditionalFormatting>
  <conditionalFormatting sqref="O6">
    <cfRule type="expression" priority="12" aboveAverage="0" equalAverage="0" bottom="0" percent="0" rank="0" text="" dxfId="3">
      <formula>AND(ISNUMBER(O6),O6&gt;1)</formula>
    </cfRule>
    <cfRule type="expression" priority="13" aboveAverage="0" equalAverage="0" bottom="0" percent="0" rank="0" text="" dxfId="74">
      <formula>AND(ISNUMBER(O6),O6&gt;0.8,O6&lt;=1)</formula>
    </cfRule>
  </conditionalFormatting>
  <conditionalFormatting sqref="N7">
    <cfRule type="expression" priority="14" aboveAverage="0" equalAverage="0" bottom="0" percent="0" rank="0" text="" dxfId="3">
      <formula>AND(ISNUMBER(N7),N7&lt;0)</formula>
    </cfRule>
    <cfRule type="expression" priority="15" aboveAverage="0" equalAverage="0" bottom="0" percent="0" rank="0" text="" dxfId="75">
      <formula>AND(ISNUMBER(N7),N7&gt;=0)</formula>
    </cfRule>
  </conditionalFormatting>
  <conditionalFormatting sqref="O7">
    <cfRule type="expression" priority="16" aboveAverage="0" equalAverage="0" bottom="0" percent="0" rank="0" text="" dxfId="3">
      <formula>AND(ISNUMBER(O7),O7&gt;1)</formula>
    </cfRule>
    <cfRule type="expression" priority="17" aboveAverage="0" equalAverage="0" bottom="0" percent="0" rank="0" text="" dxfId="74">
      <formula>AND(ISNUMBER(O7),O7&gt;0.8,O7&lt;=1)</formula>
    </cfRule>
  </conditionalFormatting>
  <conditionalFormatting sqref="N8">
    <cfRule type="expression" priority="18" aboveAverage="0" equalAverage="0" bottom="0" percent="0" rank="0" text="" dxfId="3">
      <formula>AND(ISNUMBER(N8),N8&lt;0)</formula>
    </cfRule>
    <cfRule type="expression" priority="19" aboveAverage="0" equalAverage="0" bottom="0" percent="0" rank="0" text="" dxfId="75">
      <formula>AND(ISNUMBER(N8),N8&gt;=0)</formula>
    </cfRule>
  </conditionalFormatting>
  <conditionalFormatting sqref="O8">
    <cfRule type="expression" priority="20" aboveAverage="0" equalAverage="0" bottom="0" percent="0" rank="0" text="" dxfId="3">
      <formula>AND(ISNUMBER(O8),O8&gt;1)</formula>
    </cfRule>
    <cfRule type="expression" priority="21" aboveAverage="0" equalAverage="0" bottom="0" percent="0" rank="0" text="" dxfId="74">
      <formula>AND(ISNUMBER(O8),O8&gt;0.8,O8&lt;=1)</formula>
    </cfRule>
  </conditionalFormatting>
  <conditionalFormatting sqref="N9">
    <cfRule type="expression" priority="22" aboveAverage="0" equalAverage="0" bottom="0" percent="0" rank="0" text="" dxfId="3">
      <formula>AND(ISNUMBER(N9),N9&lt;0)</formula>
    </cfRule>
    <cfRule type="expression" priority="23" aboveAverage="0" equalAverage="0" bottom="0" percent="0" rank="0" text="" dxfId="75">
      <formula>AND(ISNUMBER(N9),N9&gt;=0)</formula>
    </cfRule>
  </conditionalFormatting>
  <conditionalFormatting sqref="O9">
    <cfRule type="expression" priority="24" aboveAverage="0" equalAverage="0" bottom="0" percent="0" rank="0" text="" dxfId="3">
      <formula>AND(ISNUMBER(O9),O9&gt;1)</formula>
    </cfRule>
    <cfRule type="expression" priority="25" aboveAverage="0" equalAverage="0" bottom="0" percent="0" rank="0" text="" dxfId="74">
      <formula>AND(ISNUMBER(O9),O9&gt;0.8,O9&lt;=1)</formula>
    </cfRule>
  </conditionalFormatting>
  <conditionalFormatting sqref="N10">
    <cfRule type="expression" priority="26" aboveAverage="0" equalAverage="0" bottom="0" percent="0" rank="0" text="" dxfId="3">
      <formula>AND(ISNUMBER(N10),N10&lt;0)</formula>
    </cfRule>
    <cfRule type="expression" priority="27" aboveAverage="0" equalAverage="0" bottom="0" percent="0" rank="0" text="" dxfId="75">
      <formula>AND(ISNUMBER(N10),N10&gt;=0)</formula>
    </cfRule>
  </conditionalFormatting>
  <conditionalFormatting sqref="O10">
    <cfRule type="expression" priority="28" aboveAverage="0" equalAverage="0" bottom="0" percent="0" rank="0" text="" dxfId="3">
      <formula>AND(ISNUMBER(O10),O10&gt;1)</formula>
    </cfRule>
    <cfRule type="expression" priority="29" aboveAverage="0" equalAverage="0" bottom="0" percent="0" rank="0" text="" dxfId="74">
      <formula>AND(ISNUMBER(O10),O10&gt;0.8,O10&lt;=1)</formula>
    </cfRule>
  </conditionalFormatting>
  <conditionalFormatting sqref="N11">
    <cfRule type="expression" priority="30" aboveAverage="0" equalAverage="0" bottom="0" percent="0" rank="0" text="" dxfId="3">
      <formula>AND(ISNUMBER(N11),N11&lt;0)</formula>
    </cfRule>
    <cfRule type="expression" priority="31" aboveAverage="0" equalAverage="0" bottom="0" percent="0" rank="0" text="" dxfId="75">
      <formula>AND(ISNUMBER(N11),N11&gt;=0)</formula>
    </cfRule>
  </conditionalFormatting>
  <conditionalFormatting sqref="O11">
    <cfRule type="expression" priority="32" aboveAverage="0" equalAverage="0" bottom="0" percent="0" rank="0" text="" dxfId="3">
      <formula>AND(ISNUMBER(O11),O11&gt;1)</formula>
    </cfRule>
    <cfRule type="expression" priority="33" aboveAverage="0" equalAverage="0" bottom="0" percent="0" rank="0" text="" dxfId="74">
      <formula>AND(ISNUMBER(O11),O11&gt;0.8,O11&lt;=1)</formula>
    </cfRule>
  </conditionalFormatting>
  <conditionalFormatting sqref="N12">
    <cfRule type="expression" priority="34" aboveAverage="0" equalAverage="0" bottom="0" percent="0" rank="0" text="" dxfId="3">
      <formula>AND(ISNUMBER(N12),N12&lt;0)</formula>
    </cfRule>
    <cfRule type="expression" priority="35" aboveAverage="0" equalAverage="0" bottom="0" percent="0" rank="0" text="" dxfId="75">
      <formula>AND(ISNUMBER(N12),N12&gt;=0)</formula>
    </cfRule>
  </conditionalFormatting>
  <conditionalFormatting sqref="O12">
    <cfRule type="expression" priority="36" aboveAverage="0" equalAverage="0" bottom="0" percent="0" rank="0" text="" dxfId="3">
      <formula>AND(ISNUMBER(O12),O12&gt;1)</formula>
    </cfRule>
    <cfRule type="expression" priority="37" aboveAverage="0" equalAverage="0" bottom="0" percent="0" rank="0" text="" dxfId="74">
      <formula>AND(ISNUMBER(O12),O12&gt;0.8,O12&lt;=1)</formula>
    </cfRule>
  </conditionalFormatting>
  <conditionalFormatting sqref="N13">
    <cfRule type="expression" priority="38" aboveAverage="0" equalAverage="0" bottom="0" percent="0" rank="0" text="" dxfId="3">
      <formula>AND(ISNUMBER(N13),N13&lt;0)</formula>
    </cfRule>
    <cfRule type="expression" priority="39" aboveAverage="0" equalAverage="0" bottom="0" percent="0" rank="0" text="" dxfId="75">
      <formula>AND(ISNUMBER(N13),N13&gt;=0)</formula>
    </cfRule>
  </conditionalFormatting>
  <conditionalFormatting sqref="O13">
    <cfRule type="expression" priority="40" aboveAverage="0" equalAverage="0" bottom="0" percent="0" rank="0" text="" dxfId="3">
      <formula>AND(ISNUMBER(O13),O13&gt;1)</formula>
    </cfRule>
    <cfRule type="expression" priority="41" aboveAverage="0" equalAverage="0" bottom="0" percent="0" rank="0" text="" dxfId="74">
      <formula>AND(ISNUMBER(O13),O13&gt;0.8,O13&lt;=1)</formula>
    </cfRule>
  </conditionalFormatting>
  <conditionalFormatting sqref="N14">
    <cfRule type="expression" priority="42" aboveAverage="0" equalAverage="0" bottom="0" percent="0" rank="0" text="" dxfId="3">
      <formula>AND(ISNUMBER(N14),N14&lt;0)</formula>
    </cfRule>
    <cfRule type="expression" priority="43" aboveAverage="0" equalAverage="0" bottom="0" percent="0" rank="0" text="" dxfId="75">
      <formula>AND(ISNUMBER(N14),N14&gt;=0)</formula>
    </cfRule>
  </conditionalFormatting>
  <conditionalFormatting sqref="O14">
    <cfRule type="expression" priority="44" aboveAverage="0" equalAverage="0" bottom="0" percent="0" rank="0" text="" dxfId="3">
      <formula>AND(ISNUMBER(O14),O14&gt;1)</formula>
    </cfRule>
    <cfRule type="expression" priority="45" aboveAverage="0" equalAverage="0" bottom="0" percent="0" rank="0" text="" dxfId="74">
      <formula>AND(ISNUMBER(O14),O14&gt;0.8,O14&lt;=1)</formula>
    </cfRule>
  </conditionalFormatting>
  <conditionalFormatting sqref="N15">
    <cfRule type="expression" priority="46" aboveAverage="0" equalAverage="0" bottom="0" percent="0" rank="0" text="" dxfId="3">
      <formula>AND(ISNUMBER(N15),N15&lt;0)</formula>
    </cfRule>
    <cfRule type="expression" priority="47" aboveAverage="0" equalAverage="0" bottom="0" percent="0" rank="0" text="" dxfId="75">
      <formula>AND(ISNUMBER(N15),N15&gt;=0)</formula>
    </cfRule>
  </conditionalFormatting>
  <conditionalFormatting sqref="O15">
    <cfRule type="expression" priority="48" aboveAverage="0" equalAverage="0" bottom="0" percent="0" rank="0" text="" dxfId="3">
      <formula>AND(ISNUMBER(O15),O15&gt;1)</formula>
    </cfRule>
    <cfRule type="expression" priority="49" aboveAverage="0" equalAverage="0" bottom="0" percent="0" rank="0" text="" dxfId="74">
      <formula>AND(ISNUMBER(O15),O15&gt;0.8,O15&lt;=1)</formula>
    </cfRule>
  </conditionalFormatting>
  <conditionalFormatting sqref="N16">
    <cfRule type="expression" priority="50" aboveAverage="0" equalAverage="0" bottom="0" percent="0" rank="0" text="" dxfId="3">
      <formula>AND(ISNUMBER(N16),N16&lt;0)</formula>
    </cfRule>
    <cfRule type="expression" priority="51" aboveAverage="0" equalAverage="0" bottom="0" percent="0" rank="0" text="" dxfId="75">
      <formula>AND(ISNUMBER(N16),N16&gt;=0)</formula>
    </cfRule>
  </conditionalFormatting>
  <conditionalFormatting sqref="O16">
    <cfRule type="expression" priority="52" aboveAverage="0" equalAverage="0" bottom="0" percent="0" rank="0" text="" dxfId="3">
      <formula>AND(ISNUMBER(O16),O16&gt;1)</formula>
    </cfRule>
    <cfRule type="expression" priority="53" aboveAverage="0" equalAverage="0" bottom="0" percent="0" rank="0" text="" dxfId="74">
      <formula>AND(ISNUMBER(O16),O16&gt;0.8,O16&lt;=1)</formula>
    </cfRule>
  </conditionalFormatting>
  <conditionalFormatting sqref="N17">
    <cfRule type="expression" priority="54" aboveAverage="0" equalAverage="0" bottom="0" percent="0" rank="0" text="" dxfId="3">
      <formula>AND(ISNUMBER(N17),N17&lt;0)</formula>
    </cfRule>
    <cfRule type="expression" priority="55" aboveAverage="0" equalAverage="0" bottom="0" percent="0" rank="0" text="" dxfId="75">
      <formula>AND(ISNUMBER(N17),N17&gt;=0)</formula>
    </cfRule>
  </conditionalFormatting>
  <conditionalFormatting sqref="O17">
    <cfRule type="expression" priority="56" aboveAverage="0" equalAverage="0" bottom="0" percent="0" rank="0" text="" dxfId="3">
      <formula>AND(ISNUMBER(O17),O17&gt;1)</formula>
    </cfRule>
    <cfRule type="expression" priority="57" aboveAverage="0" equalAverage="0" bottom="0" percent="0" rank="0" text="" dxfId="74">
      <formula>AND(ISNUMBER(O17),O17&gt;0.8,O17&lt;=1)</formula>
    </cfRule>
  </conditionalFormatting>
  <conditionalFormatting sqref="N18">
    <cfRule type="expression" priority="58" aboveAverage="0" equalAverage="0" bottom="0" percent="0" rank="0" text="" dxfId="3">
      <formula>AND(ISNUMBER(N18),N18&lt;0)</formula>
    </cfRule>
    <cfRule type="expression" priority="59" aboveAverage="0" equalAverage="0" bottom="0" percent="0" rank="0" text="" dxfId="75">
      <formula>AND(ISNUMBER(N18),N18&gt;=0)</formula>
    </cfRule>
  </conditionalFormatting>
  <conditionalFormatting sqref="O18">
    <cfRule type="expression" priority="60" aboveAverage="0" equalAverage="0" bottom="0" percent="0" rank="0" text="" dxfId="3">
      <formula>AND(ISNUMBER(O18),O18&gt;1)</formula>
    </cfRule>
    <cfRule type="expression" priority="61" aboveAverage="0" equalAverage="0" bottom="0" percent="0" rank="0" text="" dxfId="74">
      <formula>AND(ISNUMBER(O18),O18&gt;0.8,O18&lt;=1)</formula>
    </cfRule>
  </conditionalFormatting>
  <conditionalFormatting sqref="U4">
    <cfRule type="expression" priority="62" aboveAverage="0" equalAverage="0" bottom="0" percent="0" rank="0" text="" dxfId="3">
      <formula>AND(ISNUMBER(U4),U4&lt;0)</formula>
    </cfRule>
  </conditionalFormatting>
  <conditionalFormatting sqref="V4">
    <cfRule type="dataBar" priority="63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{F746E310-82F2-4F4B-8AA0-D45F91BB2AF9}</x14:id>
        </ext>
      </extLst>
    </cfRule>
  </conditionalFormatting>
  <conditionalFormatting sqref="U5">
    <cfRule type="expression" priority="64" aboveAverage="0" equalAverage="0" bottom="0" percent="0" rank="0" text="" dxfId="3">
      <formula>AND(ISNUMBER(U5),U5&lt;0)</formula>
    </cfRule>
  </conditionalFormatting>
  <conditionalFormatting sqref="V5">
    <cfRule type="dataBar" priority="65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{A6BF40D8-37A8-4AED-9AFB-3020D83FA232}</x14:id>
        </ext>
      </extLst>
    </cfRule>
  </conditionalFormatting>
  <conditionalFormatting sqref="U6">
    <cfRule type="expression" priority="66" aboveAverage="0" equalAverage="0" bottom="0" percent="0" rank="0" text="" dxfId="3">
      <formula>AND(ISNUMBER(U6),U6&lt;0)</formula>
    </cfRule>
  </conditionalFormatting>
  <conditionalFormatting sqref="V6">
    <cfRule type="dataBar" priority="67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{17642BB2-F737-4D4D-B7FD-81B63A65DF9C}</x14:id>
        </ext>
      </extLst>
    </cfRule>
  </conditionalFormatting>
  <conditionalFormatting sqref="U7">
    <cfRule type="expression" priority="68" aboveAverage="0" equalAverage="0" bottom="0" percent="0" rank="0" text="" dxfId="3">
      <formula>AND(ISNUMBER(U7),U7&lt;0)</formula>
    </cfRule>
  </conditionalFormatting>
  <conditionalFormatting sqref="V7">
    <cfRule type="dataBar" priority="69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{BE14E481-38DE-44F8-A317-AD924E5DE495}</x14:id>
        </ext>
      </extLst>
    </cfRule>
  </conditionalFormatting>
  <conditionalFormatting sqref="U8">
    <cfRule type="expression" priority="70" aboveAverage="0" equalAverage="0" bottom="0" percent="0" rank="0" text="" dxfId="3">
      <formula>AND(ISNUMBER(U8),U8&lt;0)</formula>
    </cfRule>
  </conditionalFormatting>
  <conditionalFormatting sqref="V8">
    <cfRule type="dataBar" priority="71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{83F750DC-E231-4D39-B8A8-CAF9D221D4C1}</x14:id>
        </ext>
      </extLst>
    </cfRule>
  </conditionalFormatting>
  <conditionalFormatting sqref="U9">
    <cfRule type="expression" priority="72" aboveAverage="0" equalAverage="0" bottom="0" percent="0" rank="0" text="" dxfId="3">
      <formula>AND(ISNUMBER(U9),U9&lt;0)</formula>
    </cfRule>
  </conditionalFormatting>
  <conditionalFormatting sqref="V9">
    <cfRule type="dataBar" priority="73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{F3FF2F1F-18B5-4172-84BE-21504B19704B}</x14:id>
        </ext>
      </extLst>
    </cfRule>
  </conditionalFormatting>
  <conditionalFormatting sqref="U10">
    <cfRule type="expression" priority="74" aboveAverage="0" equalAverage="0" bottom="0" percent="0" rank="0" text="" dxfId="3">
      <formula>AND(ISNUMBER(U10),U10&lt;0)</formula>
    </cfRule>
  </conditionalFormatting>
  <conditionalFormatting sqref="V10">
    <cfRule type="dataBar" priority="75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{ED7C2925-DAD9-431C-8D25-46A2F2B180A5}</x14:id>
        </ext>
      </extLst>
    </cfRule>
  </conditionalFormatting>
  <conditionalFormatting sqref="U11">
    <cfRule type="expression" priority="76" aboveAverage="0" equalAverage="0" bottom="0" percent="0" rank="0" text="" dxfId="3">
      <formula>AND(ISNUMBER(U11),U11&lt;0)</formula>
    </cfRule>
  </conditionalFormatting>
  <conditionalFormatting sqref="V11">
    <cfRule type="dataBar" priority="77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{BBCEEFB8-8DC7-476C-BB8E-5144BFB0583B}</x14:id>
        </ext>
      </extLst>
    </cfRule>
  </conditionalFormatting>
  <conditionalFormatting sqref="U12">
    <cfRule type="expression" priority="78" aboveAverage="0" equalAverage="0" bottom="0" percent="0" rank="0" text="" dxfId="3">
      <formula>AND(ISNUMBER(U12),U12&lt;0)</formula>
    </cfRule>
  </conditionalFormatting>
  <conditionalFormatting sqref="V12">
    <cfRule type="dataBar" priority="79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{8E2A90DD-7FC1-48EB-B12A-1ACADFB8F37A}</x14:id>
        </ext>
      </extLst>
    </cfRule>
  </conditionalFormatting>
  <conditionalFormatting sqref="U13">
    <cfRule type="expression" priority="80" aboveAverage="0" equalAverage="0" bottom="0" percent="0" rank="0" text="" dxfId="3">
      <formula>AND(ISNUMBER(U13),U13&lt;0)</formula>
    </cfRule>
  </conditionalFormatting>
  <conditionalFormatting sqref="V13">
    <cfRule type="dataBar" priority="81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{B69E3027-7C77-4DFE-AEE3-9D663C8DA83D}</x14:id>
        </ext>
      </extLst>
    </cfRule>
  </conditionalFormatting>
  <conditionalFormatting sqref="U14">
    <cfRule type="expression" priority="82" aboveAverage="0" equalAverage="0" bottom="0" percent="0" rank="0" text="" dxfId="3">
      <formula>AND(ISNUMBER(U14),U14&lt;0)</formula>
    </cfRule>
  </conditionalFormatting>
  <conditionalFormatting sqref="V14">
    <cfRule type="dataBar" priority="83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{41C65AC6-30E0-49DA-9130-E0FB7FCC2843}</x14:id>
        </ext>
      </extLst>
    </cfRule>
  </conditionalFormatting>
  <conditionalFormatting sqref="U15">
    <cfRule type="expression" priority="84" aboveAverage="0" equalAverage="0" bottom="0" percent="0" rank="0" text="" dxfId="3">
      <formula>AND(ISNUMBER(U15),U15&lt;0)</formula>
    </cfRule>
  </conditionalFormatting>
  <conditionalFormatting sqref="V15">
    <cfRule type="dataBar" priority="85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{1E20AAA5-502D-443D-9080-FA189E6CFA53}</x14:id>
        </ext>
      </extLst>
    </cfRule>
  </conditionalFormatting>
  <conditionalFormatting sqref="U16">
    <cfRule type="expression" priority="86" aboveAverage="0" equalAverage="0" bottom="0" percent="0" rank="0" text="" dxfId="3">
      <formula>AND(ISNUMBER(U16),U16&lt;0)</formula>
    </cfRule>
  </conditionalFormatting>
  <conditionalFormatting sqref="V16">
    <cfRule type="dataBar" priority="87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{EB96CE23-A8C3-4A75-83B5-D865D07B2CD2}</x14:id>
        </ext>
      </extLst>
    </cfRule>
  </conditionalFormatting>
  <conditionalFormatting sqref="U17">
    <cfRule type="expression" priority="88" aboveAverage="0" equalAverage="0" bottom="0" percent="0" rank="0" text="" dxfId="3">
      <formula>AND(ISNUMBER(U17),U17&lt;0)</formula>
    </cfRule>
  </conditionalFormatting>
  <conditionalFormatting sqref="V17">
    <cfRule type="dataBar" priority="89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{5F62A1C9-FA37-40EB-A7A6-A48ECFBD52AA}</x14:id>
        </ext>
      </extLst>
    </cfRule>
  </conditionalFormatting>
  <conditionalFormatting sqref="U18">
    <cfRule type="expression" priority="90" aboveAverage="0" equalAverage="0" bottom="0" percent="0" rank="0" text="" dxfId="3">
      <formula>AND(ISNUMBER(U18),U18&lt;0)</formula>
    </cfRule>
  </conditionalFormatting>
  <conditionalFormatting sqref="V18">
    <cfRule type="dataBar" priority="91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{674B8F3D-90EB-4C30-86F3-6FBB264D7FC2}</x14:id>
        </ext>
      </extLst>
    </cfRule>
  </conditionalFormatting>
  <conditionalFormatting sqref="U19">
    <cfRule type="expression" priority="92" aboveAverage="0" equalAverage="0" bottom="0" percent="0" rank="0" text="" dxfId="3">
      <formula>AND(ISNUMBER(U19),U19&lt;0)</formula>
    </cfRule>
  </conditionalFormatting>
  <conditionalFormatting sqref="V19">
    <cfRule type="dataBar" priority="93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{3286FC26-5B8B-496F-89E7-571D95DFED4E}</x14:id>
        </ext>
      </extLst>
    </cfRule>
  </conditionalFormatting>
  <conditionalFormatting sqref="U20">
    <cfRule type="expression" priority="94" aboveAverage="0" equalAverage="0" bottom="0" percent="0" rank="0" text="" dxfId="3">
      <formula>AND(ISNUMBER(U20),U20&lt;0)</formula>
    </cfRule>
  </conditionalFormatting>
  <conditionalFormatting sqref="V20">
    <cfRule type="dataBar" priority="95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{5B62F74D-49C1-4660-B946-8858337E5176}</x14:id>
        </ext>
      </extLst>
    </cfRule>
  </conditionalFormatting>
  <conditionalFormatting sqref="U21">
    <cfRule type="expression" priority="96" aboveAverage="0" equalAverage="0" bottom="0" percent="0" rank="0" text="" dxfId="3">
      <formula>AND(ISNUMBER(U21),U21&lt;0)</formula>
    </cfRule>
  </conditionalFormatting>
  <conditionalFormatting sqref="V21">
    <cfRule type="dataBar" priority="97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{9A708E21-6BF9-4965-8972-883FCCB8A0D5}</x14:id>
        </ext>
      </extLst>
    </cfRule>
  </conditionalFormatting>
  <conditionalFormatting sqref="U22">
    <cfRule type="expression" priority="98" aboveAverage="0" equalAverage="0" bottom="0" percent="0" rank="0" text="" dxfId="3">
      <formula>AND(ISNUMBER(U22),U22&lt;0)</formula>
    </cfRule>
  </conditionalFormatting>
  <conditionalFormatting sqref="V22">
    <cfRule type="dataBar" priority="99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{7BC1C6A5-262C-4900-925B-37695E9B52B0}</x14:id>
        </ext>
      </extLst>
    </cfRule>
  </conditionalFormatting>
  <conditionalFormatting sqref="U23">
    <cfRule type="expression" priority="100" aboveAverage="0" equalAverage="0" bottom="0" percent="0" rank="0" text="" dxfId="3">
      <formula>AND(ISNUMBER(U23),U23&lt;0)</formula>
    </cfRule>
  </conditionalFormatting>
  <conditionalFormatting sqref="V23">
    <cfRule type="dataBar" priority="101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{15BB501D-6D30-4B72-9ADD-8612C731A091}</x14:id>
        </ext>
      </extLst>
    </cfRule>
  </conditionalFormatting>
  <conditionalFormatting sqref="U24">
    <cfRule type="expression" priority="102" aboveAverage="0" equalAverage="0" bottom="0" percent="0" rank="0" text="" dxfId="3">
      <formula>AND(ISNUMBER(U24),U24&lt;0)</formula>
    </cfRule>
  </conditionalFormatting>
  <conditionalFormatting sqref="V24">
    <cfRule type="dataBar" priority="103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{ABAD4C33-684C-4C87-81DB-3AF561E09857}</x14:id>
        </ext>
      </extLst>
    </cfRule>
  </conditionalFormatting>
  <conditionalFormatting sqref="U25">
    <cfRule type="expression" priority="104" aboveAverage="0" equalAverage="0" bottom="0" percent="0" rank="0" text="" dxfId="3">
      <formula>AND(ISNUMBER(U25),U25&lt;0)</formula>
    </cfRule>
  </conditionalFormatting>
  <conditionalFormatting sqref="V25">
    <cfRule type="dataBar" priority="105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{386020EA-2EF0-44A4-A14D-A7C32EF1CEAC}</x14:id>
        </ext>
      </extLst>
    </cfRule>
  </conditionalFormatting>
  <conditionalFormatting sqref="U26">
    <cfRule type="expression" priority="106" aboveAverage="0" equalAverage="0" bottom="0" percent="0" rank="0" text="" dxfId="3">
      <formula>AND(ISNUMBER(U26),U26&lt;0)</formula>
    </cfRule>
  </conditionalFormatting>
  <conditionalFormatting sqref="V26">
    <cfRule type="dataBar" priority="107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{6AEAE5D0-B3B5-4862-9B14-323A7E909A28}</x14:id>
        </ext>
      </extLst>
    </cfRule>
  </conditionalFormatting>
  <conditionalFormatting sqref="U27">
    <cfRule type="expression" priority="108" aboveAverage="0" equalAverage="0" bottom="0" percent="0" rank="0" text="" dxfId="3">
      <formula>AND(ISNUMBER(U27),U27&lt;0)</formula>
    </cfRule>
  </conditionalFormatting>
  <conditionalFormatting sqref="V27">
    <cfRule type="dataBar" priority="109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{1BE1796C-E961-4FE1-BEE0-399BD3F774A5}</x14:id>
        </ext>
      </extLst>
    </cfRule>
  </conditionalFormatting>
  <conditionalFormatting sqref="U28">
    <cfRule type="expression" priority="110" aboveAverage="0" equalAverage="0" bottom="0" percent="0" rank="0" text="" dxfId="3">
      <formula>AND(ISNUMBER(U28),U28&lt;0)</formula>
    </cfRule>
  </conditionalFormatting>
  <conditionalFormatting sqref="V28">
    <cfRule type="dataBar" priority="111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{837610FD-A647-4660-A1C9-D0C4FAD0D241}</x14:id>
        </ext>
      </extLst>
    </cfRule>
  </conditionalFormatting>
  <conditionalFormatting sqref="U29">
    <cfRule type="expression" priority="112" aboveAverage="0" equalAverage="0" bottom="0" percent="0" rank="0" text="" dxfId="3">
      <formula>AND(ISNUMBER(U29),U29&lt;0)</formula>
    </cfRule>
  </conditionalFormatting>
  <conditionalFormatting sqref="V29">
    <cfRule type="dataBar" priority="113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{50E03D5E-5AA0-4732-AF16-F0EE5F5AEC33}</x14:id>
        </ext>
      </extLst>
    </cfRule>
  </conditionalFormatting>
  <conditionalFormatting sqref="U30">
    <cfRule type="expression" priority="114" aboveAverage="0" equalAverage="0" bottom="0" percent="0" rank="0" text="" dxfId="3">
      <formula>AND(ISNUMBER(U30),U30&lt;0)</formula>
    </cfRule>
  </conditionalFormatting>
  <conditionalFormatting sqref="V30">
    <cfRule type="dataBar" priority="115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{00CC4E63-4D84-4EAA-95F2-1186707E5D9A}</x14:id>
        </ext>
      </extLst>
    </cfRule>
  </conditionalFormatting>
  <conditionalFormatting sqref="U31">
    <cfRule type="expression" priority="116" aboveAverage="0" equalAverage="0" bottom="0" percent="0" rank="0" text="" dxfId="3">
      <formula>AND(ISNUMBER(U31),U31&lt;0)</formula>
    </cfRule>
  </conditionalFormatting>
  <conditionalFormatting sqref="V31">
    <cfRule type="dataBar" priority="117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{5E2C7698-9534-4F6B-8FE8-9EB3943B76F8}</x14:id>
        </ext>
      </extLst>
    </cfRule>
  </conditionalFormatting>
  <conditionalFormatting sqref="U32">
    <cfRule type="expression" priority="118" aboveAverage="0" equalAverage="0" bottom="0" percent="0" rank="0" text="" dxfId="3">
      <formula>AND(ISNUMBER(U32),U32&lt;0)</formula>
    </cfRule>
  </conditionalFormatting>
  <conditionalFormatting sqref="V32">
    <cfRule type="dataBar" priority="119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{67D4BADA-EB7B-4A1D-83A3-8DB5CBF0F0F6}</x14:id>
        </ext>
      </extLst>
    </cfRule>
  </conditionalFormatting>
  <conditionalFormatting sqref="U33">
    <cfRule type="expression" priority="120" aboveAverage="0" equalAverage="0" bottom="0" percent="0" rank="0" text="" dxfId="3">
      <formula>AND(ISNUMBER(U33),U33&lt;0)</formula>
    </cfRule>
  </conditionalFormatting>
  <conditionalFormatting sqref="V33">
    <cfRule type="dataBar" priority="121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{C310DEEE-B6EB-4F9C-96AF-C1B8F588855E}</x14:id>
        </ext>
      </extLst>
    </cfRule>
  </conditionalFormatting>
  <conditionalFormatting sqref="M23">
    <cfRule type="expression" priority="122" aboveAverage="0" equalAverage="0" bottom="0" percent="0" rank="0" text="" dxfId="3">
      <formula>AND(ISNUMBER(M23),M23&lt;0)</formula>
    </cfRule>
  </conditionalFormatting>
  <conditionalFormatting sqref="M24">
    <cfRule type="expression" priority="123" aboveAverage="0" equalAverage="0" bottom="0" percent="0" rank="0" text="" dxfId="3">
      <formula>AND(ISNUMBER(M24),M24&lt;0)</formula>
    </cfRule>
  </conditionalFormatting>
  <conditionalFormatting sqref="M25">
    <cfRule type="expression" priority="124" aboveAverage="0" equalAverage="0" bottom="0" percent="0" rank="0" text="" dxfId="3">
      <formula>AND(ISNUMBER(M25),M25&lt;0)</formula>
    </cfRule>
  </conditionalFormatting>
  <conditionalFormatting sqref="M26">
    <cfRule type="expression" priority="125" aboveAverage="0" equalAverage="0" bottom="0" percent="0" rank="0" text="" dxfId="3">
      <formula>AND(ISNUMBER(M26),M26&lt;0)</formula>
    </cfRule>
  </conditionalFormatting>
  <conditionalFormatting sqref="M27">
    <cfRule type="expression" priority="126" aboveAverage="0" equalAverage="0" bottom="0" percent="0" rank="0" text="" dxfId="3">
      <formula>AND(ISNUMBER(M27),M27&lt;0)</formula>
    </cfRule>
  </conditionalFormatting>
  <conditionalFormatting sqref="M28">
    <cfRule type="expression" priority="127" aboveAverage="0" equalAverage="0" bottom="0" percent="0" rank="0" text="" dxfId="3">
      <formula>AND(ISNUMBER(M28),M28&lt;0)</formula>
    </cfRule>
  </conditionalFormatting>
  <conditionalFormatting sqref="M29">
    <cfRule type="expression" priority="128" aboveAverage="0" equalAverage="0" bottom="0" percent="0" rank="0" text="" dxfId="3">
      <formula>AND(ISNUMBER(M29),M29&lt;0)</formula>
    </cfRule>
  </conditionalFormatting>
  <conditionalFormatting sqref="M30">
    <cfRule type="expression" priority="129" aboveAverage="0" equalAverage="0" bottom="0" percent="0" rank="0" text="" dxfId="3">
      <formula>AND(ISNUMBER(M30),M30&lt;0)</formula>
    </cfRule>
  </conditionalFormatting>
  <conditionalFormatting sqref="M31">
    <cfRule type="expression" priority="130" aboveAverage="0" equalAverage="0" bottom="0" percent="0" rank="0" text="" dxfId="3">
      <formula>AND(ISNUMBER(M31),M31&lt;0)</formula>
    </cfRule>
  </conditionalFormatting>
  <conditionalFormatting sqref="M32">
    <cfRule type="expression" priority="131" aboveAverage="0" equalAverage="0" bottom="0" percent="0" rank="0" text="" dxfId="3">
      <formula>AND(ISNUMBER(M32),M32&lt;0)</formula>
    </cfRule>
  </conditionalFormatting>
  <conditionalFormatting sqref="M33">
    <cfRule type="expression" priority="132" aboveAverage="0" equalAverage="0" bottom="0" percent="0" rank="0" text="" dxfId="3">
      <formula>AND(ISNUMBER(M33),M33&lt;0)</formula>
    </cfRule>
  </conditionalFormatting>
  <conditionalFormatting sqref="M34">
    <cfRule type="expression" priority="133" aboveAverage="0" equalAverage="0" bottom="0" percent="0" rank="0" text="" dxfId="3">
      <formula>AND(ISNUMBER(M34),M34&lt;0)</formula>
    </cfRule>
  </conditionalFormatting>
  <conditionalFormatting sqref="M35">
    <cfRule type="expression" priority="134" aboveAverage="0" equalAverage="0" bottom="0" percent="0" rank="0" text="" dxfId="3">
      <formula>AND(ISNUMBER(M35),M35&lt;0)</formula>
    </cfRule>
  </conditionalFormatting>
  <conditionalFormatting sqref="M36">
    <cfRule type="expression" priority="135" aboveAverage="0" equalAverage="0" bottom="0" percent="0" rank="0" text="" dxfId="3">
      <formula>AND(ISNUMBER(M36),M36&lt;0)</formula>
    </cfRule>
  </conditionalFormatting>
  <conditionalFormatting sqref="M37">
    <cfRule type="expression" priority="136" aboveAverage="0" equalAverage="0" bottom="0" percent="0" rank="0" text="" dxfId="3">
      <formula>AND(ISNUMBER(M37),M37&lt;0)</formula>
    </cfRule>
  </conditionalFormatting>
  <conditionalFormatting sqref="M38">
    <cfRule type="expression" priority="137" aboveAverage="0" equalAverage="0" bottom="0" percent="0" rank="0" text="" dxfId="3">
      <formula>AND(ISNUMBER(M38),M38&lt;0)</formula>
    </cfRule>
  </conditionalFormatting>
  <conditionalFormatting sqref="M39">
    <cfRule type="expression" priority="138" aboveAverage="0" equalAverage="0" bottom="0" percent="0" rank="0" text="" dxfId="3">
      <formula>AND(ISNUMBER(M39),M39&lt;0)</formula>
    </cfRule>
  </conditionalFormatting>
  <conditionalFormatting sqref="M40">
    <cfRule type="expression" priority="139" aboveAverage="0" equalAverage="0" bottom="0" percent="0" rank="0" text="" dxfId="3">
      <formula>AND(ISNUMBER(M40),M40&lt;0)</formula>
    </cfRule>
  </conditionalFormatting>
  <conditionalFormatting sqref="M41">
    <cfRule type="expression" priority="140" aboveAverage="0" equalAverage="0" bottom="0" percent="0" rank="0" text="" dxfId="3">
      <formula>AND(ISNUMBER(M41),M41&lt;0)</formula>
    </cfRule>
  </conditionalFormatting>
  <conditionalFormatting sqref="M42">
    <cfRule type="expression" priority="141" aboveAverage="0" equalAverage="0" bottom="0" percent="0" rank="0" text="" dxfId="3">
      <formula>AND(ISNUMBER(M42),M42&lt;0)</formula>
    </cfRule>
  </conditionalFormatting>
  <conditionalFormatting sqref="L46">
    <cfRule type="dataBar" priority="142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{969F4DE5-5F6A-4E19-A360-7A185CFFEBC8}</x14:id>
        </ext>
      </extLst>
    </cfRule>
  </conditionalFormatting>
  <conditionalFormatting sqref="L47">
    <cfRule type="dataBar" priority="143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{F575EAFF-FAF3-42F8-955B-A3DF3E5ECB18}</x14:id>
        </ext>
      </extLst>
    </cfRule>
  </conditionalFormatting>
  <conditionalFormatting sqref="L48">
    <cfRule type="dataBar" priority="144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{9BD37593-1B83-451F-BEE4-9FF050BC3654}</x14:id>
        </ext>
      </extLst>
    </cfRule>
  </conditionalFormatting>
  <conditionalFormatting sqref="L49">
    <cfRule type="dataBar" priority="145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{C239F9F3-7CCB-435A-BE93-D0676CB77113}</x14:id>
        </ext>
      </extLst>
    </cfRule>
  </conditionalFormatting>
  <conditionalFormatting sqref="L50">
    <cfRule type="dataBar" priority="146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{D394ACE0-DCD1-4880-8158-1370A72BC545}</x14:id>
        </ext>
      </extLst>
    </cfRule>
  </conditionalFormatting>
  <conditionalFormatting sqref="L51">
    <cfRule type="dataBar" priority="147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{903A4C71-F482-4EB0-9AFC-4255C8971CE0}</x14:id>
        </ext>
      </extLst>
    </cfRule>
  </conditionalFormatting>
  <conditionalFormatting sqref="L52">
    <cfRule type="dataBar" priority="148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{C130C5F5-F380-4556-9369-8CD91D5F1278}</x14:id>
        </ext>
      </extLst>
    </cfRule>
  </conditionalFormatting>
  <conditionalFormatting sqref="L53">
    <cfRule type="dataBar" priority="149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{935A5886-1A5A-48C6-B282-D3E337944934}</x14:id>
        </ext>
      </extLst>
    </cfRule>
  </conditionalFormatting>
  <conditionalFormatting sqref="L54">
    <cfRule type="dataBar" priority="150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{F0E860D2-FCA2-4F8A-A3E2-3B50FADB92F0}</x14:id>
        </ext>
      </extLst>
    </cfRule>
  </conditionalFormatting>
  <conditionalFormatting sqref="L55">
    <cfRule type="dataBar" priority="151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{9A1070FD-2CCE-49C1-89B1-61608DA7E8AC}</x14:id>
        </ext>
      </extLst>
    </cfRule>
  </conditionalFormatting>
  <conditionalFormatting sqref="L56">
    <cfRule type="dataBar" priority="152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{60C3F239-CE75-4587-9927-75905C9BA9BB}</x14:id>
        </ext>
      </extLst>
    </cfRule>
  </conditionalFormatting>
  <conditionalFormatting sqref="L57">
    <cfRule type="dataBar" priority="153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{F4A0EEF4-1D30-44A6-B855-17B8B2E73BE2}</x14:id>
        </ext>
      </extLst>
    </cfRule>
  </conditionalFormatting>
  <conditionalFormatting sqref="L58">
    <cfRule type="dataBar" priority="154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{3972E2A0-1473-41DF-B91E-84819BFD96AB}</x14:id>
        </ext>
      </extLst>
    </cfRule>
  </conditionalFormatting>
  <conditionalFormatting sqref="L59">
    <cfRule type="dataBar" priority="155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{D08B1DC5-B472-4AE6-9F80-A3932920E090}</x14:id>
        </ext>
      </extLst>
    </cfRule>
  </conditionalFormatting>
  <conditionalFormatting sqref="L60">
    <cfRule type="dataBar" priority="156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{9FEF8C27-A1D2-4886-A4C4-357DE3893844}</x14:id>
        </ext>
      </extLst>
    </cfRule>
  </conditionalFormatting>
  <conditionalFormatting sqref="L61">
    <cfRule type="dataBar" priority="157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{2655D828-BDA1-4D5E-913D-80D2159E7D7A}</x14:id>
        </ext>
      </extLst>
    </cfRule>
  </conditionalFormatting>
  <conditionalFormatting sqref="L62">
    <cfRule type="dataBar" priority="158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{5DFA1C93-DE5A-46A4-8E3A-2284B61D90E5}</x14:id>
        </ext>
      </extLst>
    </cfRule>
  </conditionalFormatting>
  <conditionalFormatting sqref="L63">
    <cfRule type="dataBar" priority="159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{B7F9F260-4BB4-4670-8790-61393BB865E9}</x14:id>
        </ext>
      </extLst>
    </cfRule>
  </conditionalFormatting>
  <dataValidations count="3">
    <dataValidation allowBlank="true" errorStyle="stop" operator="between" showDropDown="false" showErrorMessage="false" showInputMessage="false" sqref="B4:B303" type="list">
      <formula1>Équipe!$A$4:$A$23</formula1>
      <formula2>0</formula2>
    </dataValidation>
    <dataValidation allowBlank="true" errorStyle="stop" operator="between" showDropDown="false" showErrorMessage="false" showInputMessage="false" sqref="C4:C303" type="list">
      <formula1>Gantt!$C$4:$C$33</formula1>
      <formula2>0</formula2>
    </dataValidation>
    <dataValidation allowBlank="true" errorStyle="stop" operator="between" showDropDown="false" showErrorMessage="false" showInputMessage="false" sqref="E4:E303" type="list">
      <formula1>Financement!$A$4:$A$18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46E310-82F2-4F4B-8AA0-D45F91BB2AF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V4</xm:sqref>
        </x14:conditionalFormatting>
        <x14:conditionalFormatting xmlns:xm="http://schemas.microsoft.com/office/excel/2006/main">
          <x14:cfRule type="dataBar" id="{A6BF40D8-37A8-4AED-9AFB-3020D83FA23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17642BB2-F737-4D4D-B7FD-81B63A65DF9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V6</xm:sqref>
        </x14:conditionalFormatting>
        <x14:conditionalFormatting xmlns:xm="http://schemas.microsoft.com/office/excel/2006/main">
          <x14:cfRule type="dataBar" id="{BE14E481-38DE-44F8-A317-AD924E5DE49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V7</xm:sqref>
        </x14:conditionalFormatting>
        <x14:conditionalFormatting xmlns:xm="http://schemas.microsoft.com/office/excel/2006/main">
          <x14:cfRule type="dataBar" id="{83F750DC-E231-4D39-B8A8-CAF9D221D4C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V8</xm:sqref>
        </x14:conditionalFormatting>
        <x14:conditionalFormatting xmlns:xm="http://schemas.microsoft.com/office/excel/2006/main">
          <x14:cfRule type="dataBar" id="{F3FF2F1F-18B5-4172-84BE-21504B19704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V9</xm:sqref>
        </x14:conditionalFormatting>
        <x14:conditionalFormatting xmlns:xm="http://schemas.microsoft.com/office/excel/2006/main">
          <x14:cfRule type="dataBar" id="{ED7C2925-DAD9-431C-8D25-46A2F2B180A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V10</xm:sqref>
        </x14:conditionalFormatting>
        <x14:conditionalFormatting xmlns:xm="http://schemas.microsoft.com/office/excel/2006/main">
          <x14:cfRule type="dataBar" id="{BBCEEFB8-8DC7-476C-BB8E-5144BFB0583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V11</xm:sqref>
        </x14:conditionalFormatting>
        <x14:conditionalFormatting xmlns:xm="http://schemas.microsoft.com/office/excel/2006/main">
          <x14:cfRule type="dataBar" id="{8E2A90DD-7FC1-48EB-B12A-1ACADFB8F37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V12</xm:sqref>
        </x14:conditionalFormatting>
        <x14:conditionalFormatting xmlns:xm="http://schemas.microsoft.com/office/excel/2006/main">
          <x14:cfRule type="dataBar" id="{B69E3027-7C77-4DFE-AEE3-9D663C8DA83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V13</xm:sqref>
        </x14:conditionalFormatting>
        <x14:conditionalFormatting xmlns:xm="http://schemas.microsoft.com/office/excel/2006/main">
          <x14:cfRule type="dataBar" id="{41C65AC6-30E0-49DA-9130-E0FB7FCC284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1E20AAA5-502D-443D-9080-FA189E6CFA5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V15</xm:sqref>
        </x14:conditionalFormatting>
        <x14:conditionalFormatting xmlns:xm="http://schemas.microsoft.com/office/excel/2006/main">
          <x14:cfRule type="dataBar" id="{EB96CE23-A8C3-4A75-83B5-D865D07B2CD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V16</xm:sqref>
        </x14:conditionalFormatting>
        <x14:conditionalFormatting xmlns:xm="http://schemas.microsoft.com/office/excel/2006/main">
          <x14:cfRule type="dataBar" id="{5F62A1C9-FA37-40EB-A7A6-A48ECFBD52A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V17</xm:sqref>
        </x14:conditionalFormatting>
        <x14:conditionalFormatting xmlns:xm="http://schemas.microsoft.com/office/excel/2006/main">
          <x14:cfRule type="dataBar" id="{674B8F3D-90EB-4C30-86F3-6FBB264D7FC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V18</xm:sqref>
        </x14:conditionalFormatting>
        <x14:conditionalFormatting xmlns:xm="http://schemas.microsoft.com/office/excel/2006/main">
          <x14:cfRule type="dataBar" id="{3286FC26-5B8B-496F-89E7-571D95DFED4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V19</xm:sqref>
        </x14:conditionalFormatting>
        <x14:conditionalFormatting xmlns:xm="http://schemas.microsoft.com/office/excel/2006/main">
          <x14:cfRule type="dataBar" id="{5B62F74D-49C1-4660-B946-8858337E517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A708E21-6BF9-4965-8972-883FCCB8A0D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V21</xm:sqref>
        </x14:conditionalFormatting>
        <x14:conditionalFormatting xmlns:xm="http://schemas.microsoft.com/office/excel/2006/main">
          <x14:cfRule type="dataBar" id="{7BC1C6A5-262C-4900-925B-37695E9B52B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V22</xm:sqref>
        </x14:conditionalFormatting>
        <x14:conditionalFormatting xmlns:xm="http://schemas.microsoft.com/office/excel/2006/main">
          <x14:cfRule type="dataBar" id="{15BB501D-6D30-4B72-9ADD-8612C731A09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V23</xm:sqref>
        </x14:conditionalFormatting>
        <x14:conditionalFormatting xmlns:xm="http://schemas.microsoft.com/office/excel/2006/main">
          <x14:cfRule type="dataBar" id="{ABAD4C33-684C-4C87-81DB-3AF561E0985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V24</xm:sqref>
        </x14:conditionalFormatting>
        <x14:conditionalFormatting xmlns:xm="http://schemas.microsoft.com/office/excel/2006/main">
          <x14:cfRule type="dataBar" id="{386020EA-2EF0-44A4-A14D-A7C32EF1CEA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V25</xm:sqref>
        </x14:conditionalFormatting>
        <x14:conditionalFormatting xmlns:xm="http://schemas.microsoft.com/office/excel/2006/main">
          <x14:cfRule type="dataBar" id="{6AEAE5D0-B3B5-4862-9B14-323A7E909A2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V26</xm:sqref>
        </x14:conditionalFormatting>
        <x14:conditionalFormatting xmlns:xm="http://schemas.microsoft.com/office/excel/2006/main">
          <x14:cfRule type="dataBar" id="{1BE1796C-E961-4FE1-BEE0-399BD3F774A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V27</xm:sqref>
        </x14:conditionalFormatting>
        <x14:conditionalFormatting xmlns:xm="http://schemas.microsoft.com/office/excel/2006/main">
          <x14:cfRule type="dataBar" id="{837610FD-A647-4660-A1C9-D0C4FAD0D24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V28</xm:sqref>
        </x14:conditionalFormatting>
        <x14:conditionalFormatting xmlns:xm="http://schemas.microsoft.com/office/excel/2006/main">
          <x14:cfRule type="dataBar" id="{50E03D5E-5AA0-4732-AF16-F0EE5F5AEC3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V29</xm:sqref>
        </x14:conditionalFormatting>
        <x14:conditionalFormatting xmlns:xm="http://schemas.microsoft.com/office/excel/2006/main">
          <x14:cfRule type="dataBar" id="{00CC4E63-4D84-4EAA-95F2-1186707E5D9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V30</xm:sqref>
        </x14:conditionalFormatting>
        <x14:conditionalFormatting xmlns:xm="http://schemas.microsoft.com/office/excel/2006/main">
          <x14:cfRule type="dataBar" id="{5E2C7698-9534-4F6B-8FE8-9EB3943B76F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V31</xm:sqref>
        </x14:conditionalFormatting>
        <x14:conditionalFormatting xmlns:xm="http://schemas.microsoft.com/office/excel/2006/main">
          <x14:cfRule type="dataBar" id="{67D4BADA-EB7B-4A1D-83A3-8DB5CBF0F0F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V32</xm:sqref>
        </x14:conditionalFormatting>
        <x14:conditionalFormatting xmlns:xm="http://schemas.microsoft.com/office/excel/2006/main">
          <x14:cfRule type="dataBar" id="{C310DEEE-B6EB-4F9C-96AF-C1B8F588855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V33</xm:sqref>
        </x14:conditionalFormatting>
        <x14:conditionalFormatting xmlns:xm="http://schemas.microsoft.com/office/excel/2006/main">
          <x14:cfRule type="dataBar" id="{969F4DE5-5F6A-4E19-A360-7A185CFFEBC8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F575EAFF-FAF3-42F8-955B-A3DF3E5ECB18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L47</xm:sqref>
        </x14:conditionalFormatting>
        <x14:conditionalFormatting xmlns:xm="http://schemas.microsoft.com/office/excel/2006/main">
          <x14:cfRule type="dataBar" id="{9BD37593-1B83-451F-BEE4-9FF050BC3654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L48</xm:sqref>
        </x14:conditionalFormatting>
        <x14:conditionalFormatting xmlns:xm="http://schemas.microsoft.com/office/excel/2006/main">
          <x14:cfRule type="dataBar" id="{C239F9F3-7CCB-435A-BE93-D0676CB77113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L49</xm:sqref>
        </x14:conditionalFormatting>
        <x14:conditionalFormatting xmlns:xm="http://schemas.microsoft.com/office/excel/2006/main">
          <x14:cfRule type="dataBar" id="{D394ACE0-DCD1-4880-8158-1370A72BC545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L50</xm:sqref>
        </x14:conditionalFormatting>
        <x14:conditionalFormatting xmlns:xm="http://schemas.microsoft.com/office/excel/2006/main">
          <x14:cfRule type="dataBar" id="{903A4C71-F482-4EB0-9AFC-4255C8971CE0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L51</xm:sqref>
        </x14:conditionalFormatting>
        <x14:conditionalFormatting xmlns:xm="http://schemas.microsoft.com/office/excel/2006/main">
          <x14:cfRule type="dataBar" id="{C130C5F5-F380-4556-9369-8CD91D5F1278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L52</xm:sqref>
        </x14:conditionalFormatting>
        <x14:conditionalFormatting xmlns:xm="http://schemas.microsoft.com/office/excel/2006/main">
          <x14:cfRule type="dataBar" id="{935A5886-1A5A-48C6-B282-D3E337944934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F0E860D2-FCA2-4F8A-A3E2-3B50FADB92F0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9A1070FD-2CCE-49C1-89B1-61608DA7E8AC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60C3F239-CE75-4587-9927-75905C9BA9BB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L56</xm:sqref>
        </x14:conditionalFormatting>
        <x14:conditionalFormatting xmlns:xm="http://schemas.microsoft.com/office/excel/2006/main">
          <x14:cfRule type="dataBar" id="{F4A0EEF4-1D30-44A6-B855-17B8B2E73BE2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L57</xm:sqref>
        </x14:conditionalFormatting>
        <x14:conditionalFormatting xmlns:xm="http://schemas.microsoft.com/office/excel/2006/main">
          <x14:cfRule type="dataBar" id="{3972E2A0-1473-41DF-B91E-84819BFD96AB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L58</xm:sqref>
        </x14:conditionalFormatting>
        <x14:conditionalFormatting xmlns:xm="http://schemas.microsoft.com/office/excel/2006/main">
          <x14:cfRule type="dataBar" id="{D08B1DC5-B472-4AE6-9F80-A3932920E090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L59</xm:sqref>
        </x14:conditionalFormatting>
        <x14:conditionalFormatting xmlns:xm="http://schemas.microsoft.com/office/excel/2006/main">
          <x14:cfRule type="dataBar" id="{9FEF8C27-A1D2-4886-A4C4-357DE3893844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L60</xm:sqref>
        </x14:conditionalFormatting>
        <x14:conditionalFormatting xmlns:xm="http://schemas.microsoft.com/office/excel/2006/main">
          <x14:cfRule type="dataBar" id="{2655D828-BDA1-4D5E-913D-80D2159E7D7A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L61</xm:sqref>
        </x14:conditionalFormatting>
        <x14:conditionalFormatting xmlns:xm="http://schemas.microsoft.com/office/excel/2006/main">
          <x14:cfRule type="dataBar" id="{5DFA1C93-DE5A-46A4-8E3A-2284B61D90E5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L62</xm:sqref>
        </x14:conditionalFormatting>
        <x14:conditionalFormatting xmlns:xm="http://schemas.microsoft.com/office/excel/2006/main">
          <x14:cfRule type="dataBar" id="{B7F9F260-4BB4-4670-8790-61393BB865E9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L63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R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15"/>
    <col collapsed="false" customWidth="true" hidden="false" outlineLevel="0" max="14" min="13" style="0" width="26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105</v>
      </c>
    </row>
    <row r="3" customFormat="false" ht="15" hidden="false" customHeight="false" outlineLevel="0" collapsed="false">
      <c r="B3" s="104" t="s">
        <v>106</v>
      </c>
      <c r="C3" s="105" t="s">
        <v>92</v>
      </c>
      <c r="D3" s="106" t="s">
        <v>107</v>
      </c>
      <c r="E3" s="107" t="s">
        <v>108</v>
      </c>
      <c r="F3" s="108" t="s">
        <v>109</v>
      </c>
      <c r="G3" s="109" t="s">
        <v>110</v>
      </c>
      <c r="H3" s="110" t="s">
        <v>111</v>
      </c>
    </row>
    <row r="4" customFormat="false" ht="27.75" hidden="false" customHeight="true" outlineLevel="0" collapsed="false">
      <c r="B4" s="111" t="n">
        <f aca="false">Gantt!$G$34</f>
        <v>1620</v>
      </c>
      <c r="C4" s="112" t="n">
        <f aca="false">Pointage!$F$304</f>
        <v>143</v>
      </c>
      <c r="D4" s="113" t="n">
        <f aca="false">MAX(0,B4-C4)</f>
        <v>1477</v>
      </c>
      <c r="E4" s="114" t="n">
        <f aca="false">IFERROR(C4/B4,0)</f>
        <v>0.0882716049382716</v>
      </c>
      <c r="F4" s="115" t="n">
        <f aca="false">Financement!$D$19</f>
        <v>2200</v>
      </c>
      <c r="G4" s="116" t="n">
        <f aca="false">F4-C4</f>
        <v>2057</v>
      </c>
      <c r="H4" s="117" t="str">
        <f aca="false">COUNTIF(Gantt!$E$4:$E$33,"Réalisé")&amp;" / "&amp;COUNTA(Gantt!$C$4:$C$33)</f>
        <v>0 / 5</v>
      </c>
    </row>
    <row r="6" customFormat="false" ht="15" hidden="false" customHeight="false" outlineLevel="0" collapsed="false">
      <c r="A6" s="118" t="s">
        <v>112</v>
      </c>
      <c r="B6" s="118"/>
      <c r="C6" s="118"/>
      <c r="D6" s="118"/>
      <c r="E6" s="118"/>
      <c r="F6" s="118"/>
      <c r="G6" s="119" t="s">
        <v>113</v>
      </c>
      <c r="H6" s="119"/>
      <c r="I6" s="119"/>
      <c r="J6" s="119"/>
      <c r="K6" s="119"/>
      <c r="L6" s="119"/>
      <c r="M6" s="119"/>
      <c r="N6" s="119"/>
    </row>
    <row r="7" customFormat="false" ht="24" hidden="false" customHeight="true" outlineLevel="0" collapsed="false">
      <c r="A7" s="120" t="s">
        <v>4</v>
      </c>
      <c r="B7" s="120" t="s">
        <v>3</v>
      </c>
      <c r="C7" s="120" t="s">
        <v>2</v>
      </c>
      <c r="D7" s="120" t="s">
        <v>5</v>
      </c>
      <c r="E7" s="120" t="s">
        <v>94</v>
      </c>
      <c r="F7" s="120" t="s">
        <v>114</v>
      </c>
      <c r="G7" s="121" t="s">
        <v>115</v>
      </c>
      <c r="H7" s="121" t="s">
        <v>116</v>
      </c>
      <c r="I7" s="121" t="s">
        <v>117</v>
      </c>
      <c r="J7" s="121" t="s">
        <v>118</v>
      </c>
      <c r="K7" s="121" t="s">
        <v>119</v>
      </c>
      <c r="L7" s="121" t="s">
        <v>120</v>
      </c>
      <c r="M7" s="121" t="s">
        <v>121</v>
      </c>
      <c r="N7" s="121" t="s">
        <v>7</v>
      </c>
    </row>
    <row r="8" customFormat="false" ht="15" hidden="false" customHeight="false" outlineLevel="0" collapsed="false">
      <c r="A8" s="122" t="str">
        <f aca="false">IF(Gantt!$C4="","",Gantt!$C4)</f>
        <v>Conception d'actifs 3D</v>
      </c>
      <c r="B8" s="123" t="str">
        <f aca="false">IF($A8="","",Gantt!$B4)</f>
        <v>Projet A</v>
      </c>
      <c r="C8" s="123" t="str">
        <f aca="false">IF($A8="","",Gantt!$A4)</f>
        <v>Lot 1</v>
      </c>
      <c r="D8" s="123" t="str">
        <f aca="false">IF($A8="","",Gantt!$D4)</f>
        <v>Personne A</v>
      </c>
      <c r="E8" s="123" t="n">
        <f aca="false">IF($A8="","",Gantt!$G4)</f>
        <v>120</v>
      </c>
      <c r="F8" s="123" t="str">
        <f aca="false">IF($A8="","",IF(Gantt!$H4="","",TEXT(Gantt!$H4,"mmm yy")&amp;" → "&amp;TEXT(Gantt!$I4,"mmm yy")))</f>
        <v>Sep 26 → Oct 26</v>
      </c>
      <c r="G8" s="63" t="n">
        <f aca="false">IF($A8="","",SUMIF(Pointage!$C$4:$C$303,$A8,Pointage!$F$4:$F$303))</f>
        <v>83</v>
      </c>
      <c r="H8" s="63" t="n">
        <f aca="false">IF($A8="","",$E8-$G8)</f>
        <v>37</v>
      </c>
      <c r="I8" s="71" t="n">
        <f aca="false">IF(OR($A8="",N($E8)=0),"",$G8/$E8)</f>
        <v>0.691666666666667</v>
      </c>
      <c r="J8" s="56" t="str">
        <f aca="false">IF($A8="","",Gantt!$E4)</f>
        <v>En cours</v>
      </c>
      <c r="K8" s="56" t="str">
        <f aca="false">IF($A8="","",IF($G8=0,"Non commencé",IF($G8&gt;=$E8,"Terminé (charge atteinte)","En cours")))</f>
        <v>En cours</v>
      </c>
      <c r="L8" s="124" t="n">
        <f aca="false">IF($A8="","",IFERROR(IF(_xlfn.MAXIFS(Pointage!$A$4:$A$303,Pointage!$C$4:$C$303,$A8)=0,"—",_xlfn.MAXIFS(Pointage!$A$4:$A$303,Pointage!$C$4:$C$303,$A8)),"—"))</f>
        <v>46294</v>
      </c>
      <c r="M8" s="56" t="str">
        <f aca="false">IF($A8="","",IF($G8&gt;$E8,"Dépassement de charge",IF(AND($J8="Réalisé",$G8&lt;$E8),"Réalisé mais sous-pointé",IF(AND($J8="Non commencé",$G8&gt;0),"Pointé mais non démarré",IF(AND(N($E8)&gt;0,$I8&gt;0.8,$J8&lt;&gt;"Réalisé"),"Bientôt consommé","")))))</f>
        <v/>
      </c>
      <c r="N8" s="63" t="str">
        <f aca="false">IF($A8="","",Gantt!$F4)</f>
        <v>Interne (120h)</v>
      </c>
    </row>
    <row r="9" customFormat="false" ht="15" hidden="false" customHeight="false" outlineLevel="0" collapsed="false">
      <c r="A9" s="122" t="str">
        <f aca="false">IF(Gantt!$C5="","",Gantt!$C5)</f>
        <v>Modélisation système</v>
      </c>
      <c r="B9" s="123" t="str">
        <f aca="false">IF($A9="","",Gantt!$B5)</f>
        <v>Projet A</v>
      </c>
      <c r="C9" s="123" t="str">
        <f aca="false">IF($A9="","",Gantt!$A5)</f>
        <v>Lot 5</v>
      </c>
      <c r="D9" s="123" t="str">
        <f aca="false">IF($A9="","",Gantt!$D5)</f>
        <v>Personne A</v>
      </c>
      <c r="E9" s="123" t="n">
        <f aca="false">IF($A9="","",Gantt!$G5)</f>
        <v>200</v>
      </c>
      <c r="F9" s="123" t="str">
        <f aca="false">IF($A9="","",IF(Gantt!$H5="","",TEXT(Gantt!$H5,"mmm yy")&amp;" → "&amp;TEXT(Gantt!$I5,"mmm yy")))</f>
        <v>Oct 26 → Oct 26</v>
      </c>
      <c r="G9" s="125" t="n">
        <f aca="false">IF($A9="","",SUMIF(Pointage!$C$4:$C$303,$A9,Pointage!$F$4:$F$303))</f>
        <v>0</v>
      </c>
      <c r="H9" s="125" t="n">
        <f aca="false">IF($A9="","",$E9-$G9)</f>
        <v>200</v>
      </c>
      <c r="I9" s="126" t="n">
        <f aca="false">IF(OR($A9="",N($E9)=0),"",$G9/$E9)</f>
        <v>0</v>
      </c>
      <c r="J9" s="127" t="str">
        <f aca="false">IF($A9="","",Gantt!$E5)</f>
        <v>Non commencé</v>
      </c>
      <c r="K9" s="127" t="str">
        <f aca="false">IF($A9="","",IF($G9=0,"Non commencé",IF($G9&gt;=$E9,"Terminé (charge atteinte)","En cours")))</f>
        <v>Non commencé</v>
      </c>
      <c r="L9" s="128" t="str">
        <f aca="false">IF($A9="","",IFERROR(IF(_xlfn.MAXIFS(Pointage!$A$4:$A$303,Pointage!$C$4:$C$303,$A9)=0,"—",_xlfn.MAXIFS(Pointage!$A$4:$A$303,Pointage!$C$4:$C$303,$A9)),"—"))</f>
        <v>—</v>
      </c>
      <c r="M9" s="127" t="str">
        <f aca="false">IF($A9="","",IF($G9&gt;$E9,"Dépassement de charge",IF(AND($J9="Réalisé",$G9&lt;$E9),"Réalisé mais sous-pointé",IF(AND($J9="Non commencé",$G9&gt;0),"Pointé mais non démarré",IF(AND(N($E9)&gt;0,$I9&gt;0.8,$J9&lt;&gt;"Réalisé"),"Bientôt consommé","")))))</f>
        <v/>
      </c>
      <c r="N9" s="125" t="str">
        <f aca="false">IF($A9="","",Gantt!$F5)</f>
        <v>Interne (200h)</v>
      </c>
    </row>
    <row r="10" customFormat="false" ht="15" hidden="false" customHeight="false" outlineLevel="0" collapsed="false">
      <c r="A10" s="122" t="str">
        <f aca="false">IF(Gantt!$C6="","",Gantt!$C6)</f>
        <v>Intégration technique</v>
      </c>
      <c r="B10" s="123" t="str">
        <f aca="false">IF($A10="","",Gantt!$B6)</f>
        <v>Projet B</v>
      </c>
      <c r="C10" s="123" t="str">
        <f aca="false">IF($A10="","",Gantt!$A6)</f>
        <v>Lot 2</v>
      </c>
      <c r="D10" s="123" t="str">
        <f aca="false">IF($A10="","",Gantt!$D6)</f>
        <v>Personne B</v>
      </c>
      <c r="E10" s="123" t="n">
        <f aca="false">IF($A10="","",Gantt!$G6)</f>
        <v>480</v>
      </c>
      <c r="F10" s="123" t="str">
        <f aca="false">IF($A10="","",IF(Gantt!$H6="","",TEXT(Gantt!$H6,"mmm yy")&amp;" → "&amp;TEXT(Gantt!$I6,"mmm yy")))</f>
        <v>Oct 26 → Dec 26</v>
      </c>
      <c r="G10" s="63" t="n">
        <f aca="false">IF($A10="","",SUMIF(Pointage!$C$4:$C$303,$A10,Pointage!$F$4:$F$303))</f>
        <v>60</v>
      </c>
      <c r="H10" s="63" t="n">
        <f aca="false">IF($A10="","",$E10-$G10)</f>
        <v>420</v>
      </c>
      <c r="I10" s="71" t="n">
        <f aca="false">IF(OR($A10="",N($E10)=0),"",$G10/$E10)</f>
        <v>0.125</v>
      </c>
      <c r="J10" s="56" t="str">
        <f aca="false">IF($A10="","",Gantt!$E6)</f>
        <v>Non commencé</v>
      </c>
      <c r="K10" s="56" t="str">
        <f aca="false">IF($A10="","",IF($G10=0,"Non commencé",IF($G10&gt;=$E10,"Terminé (charge atteinte)","En cours")))</f>
        <v>En cours</v>
      </c>
      <c r="L10" s="124" t="n">
        <f aca="false">IF($A10="","",IFERROR(IF(_xlfn.MAXIFS(Pointage!$A$4:$A$303,Pointage!$C$4:$C$303,$A10)=0,"—",_xlfn.MAXIFS(Pointage!$A$4:$A$303,Pointage!$C$4:$C$303,$A10)),"—"))</f>
        <v>46308</v>
      </c>
      <c r="M10" s="56" t="str">
        <f aca="false">IF($A10="","",IF($G10&gt;$E10,"Dépassement de charge",IF(AND($J10="Réalisé",$G10&lt;$E10),"Réalisé mais sous-pointé",IF(AND($J10="Non commencé",$G10&gt;0),"Pointé mais non démarré",IF(AND(N($E10)&gt;0,$I10&gt;0.8,$J10&lt;&gt;"Réalisé"),"Bientôt consommé","")))))</f>
        <v>Pointé mais non démarré</v>
      </c>
      <c r="N10" s="63" t="str">
        <f aca="false">IF($A10="","",Gantt!$F6)</f>
        <v>Client A (300h) + Subvention (180h)</v>
      </c>
    </row>
    <row r="11" customFormat="false" ht="15" hidden="false" customHeight="false" outlineLevel="0" collapsed="false">
      <c r="A11" s="122" t="str">
        <f aca="false">IF(Gantt!$C7="","",Gantt!$C7)</f>
        <v>Configuration scénarios</v>
      </c>
      <c r="B11" s="123" t="str">
        <f aca="false">IF($A11="","",Gantt!$B7)</f>
        <v>Projet B</v>
      </c>
      <c r="C11" s="123" t="str">
        <f aca="false">IF($A11="","",Gantt!$A7)</f>
        <v>Lot 3</v>
      </c>
      <c r="D11" s="123" t="str">
        <f aca="false">IF($A11="","",Gantt!$D7)</f>
        <v>Personne B</v>
      </c>
      <c r="E11" s="123" t="n">
        <f aca="false">IF($A11="","",Gantt!$G7)</f>
        <v>500</v>
      </c>
      <c r="F11" s="123" t="str">
        <f aca="false">IF($A11="","",IF(Gantt!$H7="","",TEXT(Gantt!$H7,"mmm yy")&amp;" → "&amp;TEXT(Gantt!$I7,"mmm yy")))</f>
        <v>Dec 26 → Jan 27</v>
      </c>
      <c r="G11" s="125" t="n">
        <f aca="false">IF($A11="","",SUMIF(Pointage!$C$4:$C$303,$A11,Pointage!$F$4:$F$303))</f>
        <v>0</v>
      </c>
      <c r="H11" s="125" t="n">
        <f aca="false">IF($A11="","",$E11-$G11)</f>
        <v>500</v>
      </c>
      <c r="I11" s="126" t="n">
        <f aca="false">IF(OR($A11="",N($E11)=0),"",$G11/$E11)</f>
        <v>0</v>
      </c>
      <c r="J11" s="127" t="str">
        <f aca="false">IF($A11="","",Gantt!$E7)</f>
        <v>Non commencé</v>
      </c>
      <c r="K11" s="127" t="str">
        <f aca="false">IF($A11="","",IF($G11=0,"Non commencé",IF($G11&gt;=$E11,"Terminé (charge atteinte)","En cours")))</f>
        <v>Non commencé</v>
      </c>
      <c r="L11" s="128" t="str">
        <f aca="false">IF($A11="","",IFERROR(IF(_xlfn.MAXIFS(Pointage!$A$4:$A$303,Pointage!$C$4:$C$303,$A11)=0,"—",_xlfn.MAXIFS(Pointage!$A$4:$A$303,Pointage!$C$4:$C$303,$A11)),"—"))</f>
        <v>—</v>
      </c>
      <c r="M11" s="127" t="str">
        <f aca="false">IF($A11="","",IF($G11&gt;$E11,"Dépassement de charge",IF(AND($J11="Réalisé",$G11&lt;$E11),"Réalisé mais sous-pointé",IF(AND($J11="Non commencé",$G11&gt;0),"Pointé mais non démarré",IF(AND(N($E11)&gt;0,$I11&gt;0.8,$J11&lt;&gt;"Réalisé"),"Bientôt consommé","")))))</f>
        <v/>
      </c>
      <c r="N11" s="125" t="str">
        <f aca="false">IF($A11="","",Gantt!$F7)</f>
        <v>Client A (500h)</v>
      </c>
    </row>
    <row r="12" customFormat="false" ht="15" hidden="false" customHeight="false" outlineLevel="0" collapsed="false">
      <c r="A12" s="122" t="str">
        <f aca="false">IF(Gantt!$C8="","",Gantt!$C8)</f>
        <v>Préparation livraison</v>
      </c>
      <c r="B12" s="123" t="str">
        <f aca="false">IF($A12="","",Gantt!$B8)</f>
        <v>Projet A</v>
      </c>
      <c r="C12" s="123" t="str">
        <f aca="false">IF($A12="","",Gantt!$A8)</f>
        <v>Lot 4</v>
      </c>
      <c r="D12" s="123" t="str">
        <f aca="false">IF($A12="","",Gantt!$D8)</f>
        <v>Personne A</v>
      </c>
      <c r="E12" s="123" t="n">
        <f aca="false">IF($A12="","",Gantt!$G8)</f>
        <v>320</v>
      </c>
      <c r="F12" s="123" t="str">
        <f aca="false">IF($A12="","",IF(Gantt!$H8="","",TEXT(Gantt!$H8,"mmm yy")&amp;" → "&amp;TEXT(Gantt!$I8,"mmm yy")))</f>
        <v>Jan 27 → Feb 27</v>
      </c>
      <c r="G12" s="63" t="n">
        <f aca="false">IF($A12="","",SUMIF(Pointage!$C$4:$C$303,$A12,Pointage!$F$4:$F$303))</f>
        <v>0</v>
      </c>
      <c r="H12" s="63" t="n">
        <f aca="false">IF($A12="","",$E12-$G12)</f>
        <v>320</v>
      </c>
      <c r="I12" s="71" t="n">
        <f aca="false">IF(OR($A12="",N($E12)=0),"",$G12/$E12)</f>
        <v>0</v>
      </c>
      <c r="J12" s="56" t="str">
        <f aca="false">IF($A12="","",Gantt!$E8)</f>
        <v>Non commencé</v>
      </c>
      <c r="K12" s="56" t="str">
        <f aca="false">IF($A12="","",IF($G12=0,"Non commencé",IF($G12&gt;=$E12,"Terminé (charge atteinte)","En cours")))</f>
        <v>Non commencé</v>
      </c>
      <c r="L12" s="124" t="str">
        <f aca="false">IF($A12="","",IFERROR(IF(_xlfn.MAXIFS(Pointage!$A$4:$A$303,Pointage!$C$4:$C$303,$A12)=0,"—",_xlfn.MAXIFS(Pointage!$A$4:$A$303,Pointage!$C$4:$C$303,$A12)),"—"))</f>
        <v>—</v>
      </c>
      <c r="M12" s="56" t="str">
        <f aca="false">IF($A12="","",IF($G12&gt;$E12,"Dépassement de charge",IF(AND($J12="Réalisé",$G12&lt;$E12),"Réalisé mais sous-pointé",IF(AND($J12="Non commencé",$G12&gt;0),"Pointé mais non démarré",IF(AND(N($E12)&gt;0,$I12&gt;0.8,$J12&lt;&gt;"Réalisé"),"Bientôt consommé","")))))</f>
        <v/>
      </c>
      <c r="N12" s="63" t="str">
        <f aca="false">IF($A12="","",Gantt!$F8)</f>
        <v>Client A (220h) + Client B (100h)</v>
      </c>
    </row>
    <row r="13" customFormat="false" ht="15" hidden="false" customHeight="false" outlineLevel="0" collapsed="false">
      <c r="A13" s="122" t="str">
        <f aca="false">IF(Gantt!$C9="","",Gantt!$C9)</f>
        <v/>
      </c>
      <c r="B13" s="123" t="str">
        <f aca="false">IF($A13="","",Gantt!$B9)</f>
        <v/>
      </c>
      <c r="C13" s="123" t="str">
        <f aca="false">IF($A13="","",Gantt!$A9)</f>
        <v/>
      </c>
      <c r="D13" s="123" t="str">
        <f aca="false">IF($A13="","",Gantt!$D9)</f>
        <v/>
      </c>
      <c r="E13" s="123" t="str">
        <f aca="false">IF($A13="","",Gantt!$G9)</f>
        <v/>
      </c>
      <c r="F13" s="123" t="str">
        <f aca="false">IF($A13="","",IF(Gantt!$H9="","",TEXT(Gantt!$H9,"mmm yy")&amp;" → "&amp;TEXT(Gantt!$I9,"mmm yy")))</f>
        <v/>
      </c>
      <c r="G13" s="127" t="str">
        <f aca="false">IF($A13="","",SUMIF(Pointage!$C$4:$C$303,$A13,Pointage!$F$4:$F$303))</f>
        <v/>
      </c>
      <c r="H13" s="127" t="str">
        <f aca="false">IF($A13="","",$E13-$G13)</f>
        <v/>
      </c>
      <c r="I13" s="126" t="str">
        <f aca="false">IF(OR($A13="",N($E13)=0),"",$G13/$E13)</f>
        <v/>
      </c>
      <c r="J13" s="127" t="str">
        <f aca="false">IF($A13="","",Gantt!$E9)</f>
        <v/>
      </c>
      <c r="K13" s="127" t="str">
        <f aca="false">IF($A13="","",IF($G13=0,"Non commencé",IF($G13&gt;=$E13,"Terminé (charge atteinte)","En cours")))</f>
        <v/>
      </c>
      <c r="L13" s="128" t="str">
        <f aca="false">IF($A13="","",IFERROR(IF(_xlfn.MAXIFS(Pointage!$A$4:$A$303,Pointage!$C$4:$C$303,$A13)=0,"—",_xlfn.MAXIFS(Pointage!$A$4:$A$303,Pointage!$C$4:$C$303,$A13)),"—"))</f>
        <v/>
      </c>
      <c r="M13" s="127" t="str">
        <f aca="false">IF($A13="","",IF($G13&gt;$E13,"Dépassement de charge",IF(AND($J13="Réalisé",$G13&lt;$E13),"Réalisé mais sous-pointé",IF(AND($J13="Non commencé",$G13&gt;0),"Pointé mais non démarré",IF(AND(N($E13)&gt;0,$I13&gt;0.8,$J13&lt;&gt;"Réalisé"),"Bientôt consommé","")))))</f>
        <v/>
      </c>
      <c r="N13" s="127" t="str">
        <f aca="false">IF($A13="","",Gantt!$F9)</f>
        <v/>
      </c>
    </row>
    <row r="14" customFormat="false" ht="15" hidden="false" customHeight="false" outlineLevel="0" collapsed="false">
      <c r="A14" s="122" t="str">
        <f aca="false">IF(Gantt!$C10="","",Gantt!$C10)</f>
        <v/>
      </c>
      <c r="B14" s="123" t="str">
        <f aca="false">IF($A14="","",Gantt!$B10)</f>
        <v/>
      </c>
      <c r="C14" s="123" t="str">
        <f aca="false">IF($A14="","",Gantt!$A10)</f>
        <v/>
      </c>
      <c r="D14" s="123" t="str">
        <f aca="false">IF($A14="","",Gantt!$D10)</f>
        <v/>
      </c>
      <c r="E14" s="123" t="str">
        <f aca="false">IF($A14="","",Gantt!$G10)</f>
        <v/>
      </c>
      <c r="F14" s="123" t="str">
        <f aca="false">IF($A14="","",IF(Gantt!$H10="","",TEXT(Gantt!$H10,"mmm yy")&amp;" → "&amp;TEXT(Gantt!$I10,"mmm yy")))</f>
        <v/>
      </c>
      <c r="G14" s="56" t="str">
        <f aca="false">IF($A14="","",SUMIF(Pointage!$C$4:$C$303,$A14,Pointage!$F$4:$F$303))</f>
        <v/>
      </c>
      <c r="H14" s="56" t="str">
        <f aca="false">IF($A14="","",$E14-$G14)</f>
        <v/>
      </c>
      <c r="I14" s="71" t="str">
        <f aca="false">IF(OR($A14="",N($E14)=0),"",$G14/$E14)</f>
        <v/>
      </c>
      <c r="J14" s="56" t="str">
        <f aca="false">IF($A14="","",Gantt!$E10)</f>
        <v/>
      </c>
      <c r="K14" s="56" t="str">
        <f aca="false">IF($A14="","",IF($G14=0,"Non commencé",IF($G14&gt;=$E14,"Terminé (charge atteinte)","En cours")))</f>
        <v/>
      </c>
      <c r="L14" s="124" t="str">
        <f aca="false">IF($A14="","",IFERROR(IF(_xlfn.MAXIFS(Pointage!$A$4:$A$303,Pointage!$C$4:$C$303,$A14)=0,"—",_xlfn.MAXIFS(Pointage!$A$4:$A$303,Pointage!$C$4:$C$303,$A14)),"—"))</f>
        <v/>
      </c>
      <c r="M14" s="56" t="str">
        <f aca="false">IF($A14="","",IF($G14&gt;$E14,"Dépassement de charge",IF(AND($J14="Réalisé",$G14&lt;$E14),"Réalisé mais sous-pointé",IF(AND($J14="Non commencé",$G14&gt;0),"Pointé mais non démarré",IF(AND(N($E14)&gt;0,$I14&gt;0.8,$J14&lt;&gt;"Réalisé"),"Bientôt consommé","")))))</f>
        <v/>
      </c>
      <c r="N14" s="56" t="str">
        <f aca="false">IF($A14="","",Gantt!$F10)</f>
        <v/>
      </c>
    </row>
    <row r="15" customFormat="false" ht="15" hidden="false" customHeight="false" outlineLevel="0" collapsed="false">
      <c r="A15" s="122" t="str">
        <f aca="false">IF(Gantt!$C11="","",Gantt!$C11)</f>
        <v/>
      </c>
      <c r="B15" s="123" t="str">
        <f aca="false">IF($A15="","",Gantt!$B11)</f>
        <v/>
      </c>
      <c r="C15" s="123" t="str">
        <f aca="false">IF($A15="","",Gantt!$A11)</f>
        <v/>
      </c>
      <c r="D15" s="123" t="str">
        <f aca="false">IF($A15="","",Gantt!$D11)</f>
        <v/>
      </c>
      <c r="E15" s="123" t="str">
        <f aca="false">IF($A15="","",Gantt!$G11)</f>
        <v/>
      </c>
      <c r="F15" s="123" t="str">
        <f aca="false">IF($A15="","",IF(Gantt!$H11="","",TEXT(Gantt!$H11,"mmm yy")&amp;" → "&amp;TEXT(Gantt!$I11,"mmm yy")))</f>
        <v/>
      </c>
      <c r="G15" s="127" t="str">
        <f aca="false">IF($A15="","",SUMIF(Pointage!$C$4:$C$303,$A15,Pointage!$F$4:$F$303))</f>
        <v/>
      </c>
      <c r="H15" s="127" t="str">
        <f aca="false">IF($A15="","",$E15-$G15)</f>
        <v/>
      </c>
      <c r="I15" s="126" t="str">
        <f aca="false">IF(OR($A15="",N($E15)=0),"",$G15/$E15)</f>
        <v/>
      </c>
      <c r="J15" s="127" t="str">
        <f aca="false">IF($A15="","",Gantt!$E11)</f>
        <v/>
      </c>
      <c r="K15" s="127" t="str">
        <f aca="false">IF($A15="","",IF($G15=0,"Non commencé",IF($G15&gt;=$E15,"Terminé (charge atteinte)","En cours")))</f>
        <v/>
      </c>
      <c r="L15" s="128" t="str">
        <f aca="false">IF($A15="","",IFERROR(IF(_xlfn.MAXIFS(Pointage!$A$4:$A$303,Pointage!$C$4:$C$303,$A15)=0,"—",_xlfn.MAXIFS(Pointage!$A$4:$A$303,Pointage!$C$4:$C$303,$A15)),"—"))</f>
        <v/>
      </c>
      <c r="M15" s="127" t="str">
        <f aca="false">IF($A15="","",IF($G15&gt;$E15,"Dépassement de charge",IF(AND($J15="Réalisé",$G15&lt;$E15),"Réalisé mais sous-pointé",IF(AND($J15="Non commencé",$G15&gt;0),"Pointé mais non démarré",IF(AND(N($E15)&gt;0,$I15&gt;0.8,$J15&lt;&gt;"Réalisé"),"Bientôt consommé","")))))</f>
        <v/>
      </c>
      <c r="N15" s="127" t="str">
        <f aca="false">IF($A15="","",Gantt!$F11)</f>
        <v/>
      </c>
    </row>
    <row r="16" customFormat="false" ht="15" hidden="false" customHeight="false" outlineLevel="0" collapsed="false">
      <c r="A16" s="122" t="str">
        <f aca="false">IF(Gantt!$C12="","",Gantt!$C12)</f>
        <v/>
      </c>
      <c r="B16" s="123" t="str">
        <f aca="false">IF($A16="","",Gantt!$B12)</f>
        <v/>
      </c>
      <c r="C16" s="123" t="str">
        <f aca="false">IF($A16="","",Gantt!$A12)</f>
        <v/>
      </c>
      <c r="D16" s="123" t="str">
        <f aca="false">IF($A16="","",Gantt!$D12)</f>
        <v/>
      </c>
      <c r="E16" s="123" t="str">
        <f aca="false">IF($A16="","",Gantt!$G12)</f>
        <v/>
      </c>
      <c r="F16" s="123" t="str">
        <f aca="false">IF($A16="","",IF(Gantt!$H12="","",TEXT(Gantt!$H12,"mmm yy")&amp;" → "&amp;TEXT(Gantt!$I12,"mmm yy")))</f>
        <v/>
      </c>
      <c r="G16" s="56" t="str">
        <f aca="false">IF($A16="","",SUMIF(Pointage!$C$4:$C$303,$A16,Pointage!$F$4:$F$303))</f>
        <v/>
      </c>
      <c r="H16" s="56" t="str">
        <f aca="false">IF($A16="","",$E16-$G16)</f>
        <v/>
      </c>
      <c r="I16" s="71" t="str">
        <f aca="false">IF(OR($A16="",N($E16)=0),"",$G16/$E16)</f>
        <v/>
      </c>
      <c r="J16" s="56" t="str">
        <f aca="false">IF($A16="","",Gantt!$E12)</f>
        <v/>
      </c>
      <c r="K16" s="56" t="str">
        <f aca="false">IF($A16="","",IF($G16=0,"Non commencé",IF($G16&gt;=$E16,"Terminé (charge atteinte)","En cours")))</f>
        <v/>
      </c>
      <c r="L16" s="124" t="str">
        <f aca="false">IF($A16="","",IFERROR(IF(_xlfn.MAXIFS(Pointage!$A$4:$A$303,Pointage!$C$4:$C$303,$A16)=0,"—",_xlfn.MAXIFS(Pointage!$A$4:$A$303,Pointage!$C$4:$C$303,$A16)),"—"))</f>
        <v/>
      </c>
      <c r="M16" s="56" t="str">
        <f aca="false">IF($A16="","",IF($G16&gt;$E16,"Dépassement de charge",IF(AND($J16="Réalisé",$G16&lt;$E16),"Réalisé mais sous-pointé",IF(AND($J16="Non commencé",$G16&gt;0),"Pointé mais non démarré",IF(AND(N($E16)&gt;0,$I16&gt;0.8,$J16&lt;&gt;"Réalisé"),"Bientôt consommé","")))))</f>
        <v/>
      </c>
      <c r="N16" s="56" t="str">
        <f aca="false">IF($A16="","",Gantt!$F12)</f>
        <v/>
      </c>
    </row>
    <row r="17" customFormat="false" ht="15" hidden="false" customHeight="false" outlineLevel="0" collapsed="false">
      <c r="A17" s="122" t="str">
        <f aca="false">IF(Gantt!$C13="","",Gantt!$C13)</f>
        <v/>
      </c>
      <c r="B17" s="123" t="str">
        <f aca="false">IF($A17="","",Gantt!$B13)</f>
        <v/>
      </c>
      <c r="C17" s="123" t="str">
        <f aca="false">IF($A17="","",Gantt!$A13)</f>
        <v/>
      </c>
      <c r="D17" s="123" t="str">
        <f aca="false">IF($A17="","",Gantt!$D13)</f>
        <v/>
      </c>
      <c r="E17" s="123" t="str">
        <f aca="false">IF($A17="","",Gantt!$G13)</f>
        <v/>
      </c>
      <c r="F17" s="123" t="str">
        <f aca="false">IF($A17="","",IF(Gantt!$H13="","",TEXT(Gantt!$H13,"mmm yy")&amp;" → "&amp;TEXT(Gantt!$I13,"mmm yy")))</f>
        <v/>
      </c>
      <c r="G17" s="127" t="str">
        <f aca="false">IF($A17="","",SUMIF(Pointage!$C$4:$C$303,$A17,Pointage!$F$4:$F$303))</f>
        <v/>
      </c>
      <c r="H17" s="127" t="str">
        <f aca="false">IF($A17="","",$E17-$G17)</f>
        <v/>
      </c>
      <c r="I17" s="126" t="str">
        <f aca="false">IF(OR($A17="",N($E17)=0),"",$G17/$E17)</f>
        <v/>
      </c>
      <c r="J17" s="127" t="str">
        <f aca="false">IF($A17="","",Gantt!$E13)</f>
        <v/>
      </c>
      <c r="K17" s="127" t="str">
        <f aca="false">IF($A17="","",IF($G17=0,"Non commencé",IF($G17&gt;=$E17,"Terminé (charge atteinte)","En cours")))</f>
        <v/>
      </c>
      <c r="L17" s="128" t="str">
        <f aca="false">IF($A17="","",IFERROR(IF(_xlfn.MAXIFS(Pointage!$A$4:$A$303,Pointage!$C$4:$C$303,$A17)=0,"—",_xlfn.MAXIFS(Pointage!$A$4:$A$303,Pointage!$C$4:$C$303,$A17)),"—"))</f>
        <v/>
      </c>
      <c r="M17" s="127" t="str">
        <f aca="false">IF($A17="","",IF($G17&gt;$E17,"Dépassement de charge",IF(AND($J17="Réalisé",$G17&lt;$E17),"Réalisé mais sous-pointé",IF(AND($J17="Non commencé",$G17&gt;0),"Pointé mais non démarré",IF(AND(N($E17)&gt;0,$I17&gt;0.8,$J17&lt;&gt;"Réalisé"),"Bientôt consommé","")))))</f>
        <v/>
      </c>
      <c r="N17" s="127" t="str">
        <f aca="false">IF($A17="","",Gantt!$F13)</f>
        <v/>
      </c>
    </row>
    <row r="18" customFormat="false" ht="15" hidden="false" customHeight="false" outlineLevel="0" collapsed="false">
      <c r="A18" s="122" t="str">
        <f aca="false">IF(Gantt!$C14="","",Gantt!$C14)</f>
        <v/>
      </c>
      <c r="B18" s="123" t="str">
        <f aca="false">IF($A18="","",Gantt!$B14)</f>
        <v/>
      </c>
      <c r="C18" s="123" t="str">
        <f aca="false">IF($A18="","",Gantt!$A14)</f>
        <v/>
      </c>
      <c r="D18" s="123" t="str">
        <f aca="false">IF($A18="","",Gantt!$D14)</f>
        <v/>
      </c>
      <c r="E18" s="123" t="str">
        <f aca="false">IF($A18="","",Gantt!$G14)</f>
        <v/>
      </c>
      <c r="F18" s="123" t="str">
        <f aca="false">IF($A18="","",IF(Gantt!$H14="","",TEXT(Gantt!$H14,"mmm yy")&amp;" → "&amp;TEXT(Gantt!$I14,"mmm yy")))</f>
        <v/>
      </c>
      <c r="G18" s="56" t="str">
        <f aca="false">IF($A18="","",SUMIF(Pointage!$C$4:$C$303,$A18,Pointage!$F$4:$F$303))</f>
        <v/>
      </c>
      <c r="H18" s="56" t="str">
        <f aca="false">IF($A18="","",$E18-$G18)</f>
        <v/>
      </c>
      <c r="I18" s="71" t="str">
        <f aca="false">IF(OR($A18="",N($E18)=0),"",$G18/$E18)</f>
        <v/>
      </c>
      <c r="J18" s="56" t="str">
        <f aca="false">IF($A18="","",Gantt!$E14)</f>
        <v/>
      </c>
      <c r="K18" s="56" t="str">
        <f aca="false">IF($A18="","",IF($G18=0,"Non commencé",IF($G18&gt;=$E18,"Terminé (charge atteinte)","En cours")))</f>
        <v/>
      </c>
      <c r="L18" s="124" t="str">
        <f aca="false">IF($A18="","",IFERROR(IF(_xlfn.MAXIFS(Pointage!$A$4:$A$303,Pointage!$C$4:$C$303,$A18)=0,"—",_xlfn.MAXIFS(Pointage!$A$4:$A$303,Pointage!$C$4:$C$303,$A18)),"—"))</f>
        <v/>
      </c>
      <c r="M18" s="56" t="str">
        <f aca="false">IF($A18="","",IF($G18&gt;$E18,"Dépassement de charge",IF(AND($J18="Réalisé",$G18&lt;$E18),"Réalisé mais sous-pointé",IF(AND($J18="Non commencé",$G18&gt;0),"Pointé mais non démarré",IF(AND(N($E18)&gt;0,$I18&gt;0.8,$J18&lt;&gt;"Réalisé"),"Bientôt consommé","")))))</f>
        <v/>
      </c>
      <c r="N18" s="56" t="str">
        <f aca="false">IF($A18="","",Gantt!$F14)</f>
        <v/>
      </c>
    </row>
    <row r="19" customFormat="false" ht="15" hidden="false" customHeight="false" outlineLevel="0" collapsed="false">
      <c r="A19" s="122" t="str">
        <f aca="false">IF(Gantt!$C15="","",Gantt!$C15)</f>
        <v/>
      </c>
      <c r="B19" s="123" t="str">
        <f aca="false">IF($A19="","",Gantt!$B15)</f>
        <v/>
      </c>
      <c r="C19" s="123" t="str">
        <f aca="false">IF($A19="","",Gantt!$A15)</f>
        <v/>
      </c>
      <c r="D19" s="123" t="str">
        <f aca="false">IF($A19="","",Gantt!$D15)</f>
        <v/>
      </c>
      <c r="E19" s="123" t="str">
        <f aca="false">IF($A19="","",Gantt!$G15)</f>
        <v/>
      </c>
      <c r="F19" s="123" t="str">
        <f aca="false">IF($A19="","",IF(Gantt!$H15="","",TEXT(Gantt!$H15,"mmm yy")&amp;" → "&amp;TEXT(Gantt!$I15,"mmm yy")))</f>
        <v/>
      </c>
      <c r="G19" s="127" t="str">
        <f aca="false">IF($A19="","",SUMIF(Pointage!$C$4:$C$303,$A19,Pointage!$F$4:$F$303))</f>
        <v/>
      </c>
      <c r="H19" s="127" t="str">
        <f aca="false">IF($A19="","",$E19-$G19)</f>
        <v/>
      </c>
      <c r="I19" s="126" t="str">
        <f aca="false">IF(OR($A19="",N($E19)=0),"",$G19/$E19)</f>
        <v/>
      </c>
      <c r="J19" s="127" t="str">
        <f aca="false">IF($A19="","",Gantt!$E15)</f>
        <v/>
      </c>
      <c r="K19" s="127" t="str">
        <f aca="false">IF($A19="","",IF($G19=0,"Non commencé",IF($G19&gt;=$E19,"Terminé (charge atteinte)","En cours")))</f>
        <v/>
      </c>
      <c r="L19" s="128" t="str">
        <f aca="false">IF($A19="","",IFERROR(IF(_xlfn.MAXIFS(Pointage!$A$4:$A$303,Pointage!$C$4:$C$303,$A19)=0,"—",_xlfn.MAXIFS(Pointage!$A$4:$A$303,Pointage!$C$4:$C$303,$A19)),"—"))</f>
        <v/>
      </c>
      <c r="M19" s="127" t="str">
        <f aca="false">IF($A19="","",IF($G19&gt;$E19,"Dépassement de charge",IF(AND($J19="Réalisé",$G19&lt;$E19),"Réalisé mais sous-pointé",IF(AND($J19="Non commencé",$G19&gt;0),"Pointé mais non démarré",IF(AND(N($E19)&gt;0,$I19&gt;0.8,$J19&lt;&gt;"Réalisé"),"Bientôt consommé","")))))</f>
        <v/>
      </c>
      <c r="N19" s="127" t="str">
        <f aca="false">IF($A19="","",Gantt!$F15)</f>
        <v/>
      </c>
    </row>
    <row r="20" customFormat="false" ht="15" hidden="false" customHeight="false" outlineLevel="0" collapsed="false">
      <c r="A20" s="122" t="str">
        <f aca="false">IF(Gantt!$C16="","",Gantt!$C16)</f>
        <v/>
      </c>
      <c r="B20" s="123" t="str">
        <f aca="false">IF($A20="","",Gantt!$B16)</f>
        <v/>
      </c>
      <c r="C20" s="123" t="str">
        <f aca="false">IF($A20="","",Gantt!$A16)</f>
        <v/>
      </c>
      <c r="D20" s="123" t="str">
        <f aca="false">IF($A20="","",Gantt!$D16)</f>
        <v/>
      </c>
      <c r="E20" s="123" t="str">
        <f aca="false">IF($A20="","",Gantt!$G16)</f>
        <v/>
      </c>
      <c r="F20" s="123" t="str">
        <f aca="false">IF($A20="","",IF(Gantt!$H16="","",TEXT(Gantt!$H16,"mmm yy")&amp;" → "&amp;TEXT(Gantt!$I16,"mmm yy")))</f>
        <v/>
      </c>
      <c r="G20" s="56" t="str">
        <f aca="false">IF($A20="","",SUMIF(Pointage!$C$4:$C$303,$A20,Pointage!$F$4:$F$303))</f>
        <v/>
      </c>
      <c r="H20" s="56" t="str">
        <f aca="false">IF($A20="","",$E20-$G20)</f>
        <v/>
      </c>
      <c r="I20" s="71" t="str">
        <f aca="false">IF(OR($A20="",N($E20)=0),"",$G20/$E20)</f>
        <v/>
      </c>
      <c r="J20" s="56" t="str">
        <f aca="false">IF($A20="","",Gantt!$E16)</f>
        <v/>
      </c>
      <c r="K20" s="56" t="str">
        <f aca="false">IF($A20="","",IF($G20=0,"Non commencé",IF($G20&gt;=$E20,"Terminé (charge atteinte)","En cours")))</f>
        <v/>
      </c>
      <c r="L20" s="124" t="str">
        <f aca="false">IF($A20="","",IFERROR(IF(_xlfn.MAXIFS(Pointage!$A$4:$A$303,Pointage!$C$4:$C$303,$A20)=0,"—",_xlfn.MAXIFS(Pointage!$A$4:$A$303,Pointage!$C$4:$C$303,$A20)),"—"))</f>
        <v/>
      </c>
      <c r="M20" s="56" t="str">
        <f aca="false">IF($A20="","",IF($G20&gt;$E20,"Dépassement de charge",IF(AND($J20="Réalisé",$G20&lt;$E20),"Réalisé mais sous-pointé",IF(AND($J20="Non commencé",$G20&gt;0),"Pointé mais non démarré",IF(AND(N($E20)&gt;0,$I20&gt;0.8,$J20&lt;&gt;"Réalisé"),"Bientôt consommé","")))))</f>
        <v/>
      </c>
      <c r="N20" s="56" t="str">
        <f aca="false">IF($A20="","",Gantt!$F16)</f>
        <v/>
      </c>
    </row>
    <row r="21" customFormat="false" ht="15" hidden="false" customHeight="false" outlineLevel="0" collapsed="false">
      <c r="A21" s="122" t="str">
        <f aca="false">IF(Gantt!$C17="","",Gantt!$C17)</f>
        <v/>
      </c>
      <c r="B21" s="123" t="str">
        <f aca="false">IF($A21="","",Gantt!$B17)</f>
        <v/>
      </c>
      <c r="C21" s="123" t="str">
        <f aca="false">IF($A21="","",Gantt!$A17)</f>
        <v/>
      </c>
      <c r="D21" s="123" t="str">
        <f aca="false">IF($A21="","",Gantt!$D17)</f>
        <v/>
      </c>
      <c r="E21" s="123" t="str">
        <f aca="false">IF($A21="","",Gantt!$G17)</f>
        <v/>
      </c>
      <c r="F21" s="123" t="str">
        <f aca="false">IF($A21="","",IF(Gantt!$H17="","",TEXT(Gantt!$H17,"mmm yy")&amp;" → "&amp;TEXT(Gantt!$I17,"mmm yy")))</f>
        <v/>
      </c>
      <c r="G21" s="127" t="str">
        <f aca="false">IF($A21="","",SUMIF(Pointage!$C$4:$C$303,$A21,Pointage!$F$4:$F$303))</f>
        <v/>
      </c>
      <c r="H21" s="127" t="str">
        <f aca="false">IF($A21="","",$E21-$G21)</f>
        <v/>
      </c>
      <c r="I21" s="126" t="str">
        <f aca="false">IF(OR($A21="",N($E21)=0),"",$G21/$E21)</f>
        <v/>
      </c>
      <c r="J21" s="127" t="str">
        <f aca="false">IF($A21="","",Gantt!$E17)</f>
        <v/>
      </c>
      <c r="K21" s="127" t="str">
        <f aca="false">IF($A21="","",IF($G21=0,"Non commencé",IF($G21&gt;=$E21,"Terminé (charge atteinte)","En cours")))</f>
        <v/>
      </c>
      <c r="L21" s="128" t="str">
        <f aca="false">IF($A21="","",IFERROR(IF(_xlfn.MAXIFS(Pointage!$A$4:$A$303,Pointage!$C$4:$C$303,$A21)=0,"—",_xlfn.MAXIFS(Pointage!$A$4:$A$303,Pointage!$C$4:$C$303,$A21)),"—"))</f>
        <v/>
      </c>
      <c r="M21" s="127" t="str">
        <f aca="false">IF($A21="","",IF($G21&gt;$E21,"Dépassement de charge",IF(AND($J21="Réalisé",$G21&lt;$E21),"Réalisé mais sous-pointé",IF(AND($J21="Non commencé",$G21&gt;0),"Pointé mais non démarré",IF(AND(N($E21)&gt;0,$I21&gt;0.8,$J21&lt;&gt;"Réalisé"),"Bientôt consommé","")))))</f>
        <v/>
      </c>
      <c r="N21" s="127" t="str">
        <f aca="false">IF($A21="","",Gantt!$F17)</f>
        <v/>
      </c>
    </row>
    <row r="22" customFormat="false" ht="15" hidden="false" customHeight="false" outlineLevel="0" collapsed="false">
      <c r="A22" s="122" t="str">
        <f aca="false">IF(Gantt!$C18="","",Gantt!$C18)</f>
        <v/>
      </c>
      <c r="B22" s="123" t="str">
        <f aca="false">IF($A22="","",Gantt!$B18)</f>
        <v/>
      </c>
      <c r="C22" s="123" t="str">
        <f aca="false">IF($A22="","",Gantt!$A18)</f>
        <v/>
      </c>
      <c r="D22" s="123" t="str">
        <f aca="false">IF($A22="","",Gantt!$D18)</f>
        <v/>
      </c>
      <c r="E22" s="123" t="str">
        <f aca="false">IF($A22="","",Gantt!$G18)</f>
        <v/>
      </c>
      <c r="F22" s="123" t="str">
        <f aca="false">IF($A22="","",IF(Gantt!$H18="","",TEXT(Gantt!$H18,"mmm yy")&amp;" → "&amp;TEXT(Gantt!$I18,"mmm yy")))</f>
        <v/>
      </c>
      <c r="G22" s="63" t="str">
        <f aca="false">IF($A22="","",SUMIF(Pointage!$C$4:$C$303,$A22,Pointage!$F$4:$F$303))</f>
        <v/>
      </c>
      <c r="H22" s="56" t="str">
        <f aca="false">IF($A22="","",$E22-$G22)</f>
        <v/>
      </c>
      <c r="I22" s="71" t="str">
        <f aca="false">IF(OR($A22="",N($E22)=0),"",$G22/$E22)</f>
        <v/>
      </c>
      <c r="J22" s="56" t="str">
        <f aca="false">IF($A22="","",Gantt!$E18)</f>
        <v/>
      </c>
      <c r="K22" s="56" t="str">
        <f aca="false">IF($A22="","",IF($G22=0,"Non commencé",IF($G22&gt;=$E22,"Terminé (charge atteinte)","En cours")))</f>
        <v/>
      </c>
      <c r="L22" s="124" t="str">
        <f aca="false">IF($A22="","",IFERROR(IF(_xlfn.MAXIFS(Pointage!$A$4:$A$303,Pointage!$C$4:$C$303,$A22)=0,"—",_xlfn.MAXIFS(Pointage!$A$4:$A$303,Pointage!$C$4:$C$303,$A22)),"—"))</f>
        <v/>
      </c>
      <c r="M22" s="56" t="str">
        <f aca="false">IF($A22="","",IF($G22&gt;$E22,"Dépassement de charge",IF(AND($J22="Réalisé",$G22&lt;$E22),"Réalisé mais sous-pointé",IF(AND($J22="Non commencé",$G22&gt;0),"Pointé mais non démarré",IF(AND(N($E22)&gt;0,$I22&gt;0.8,$J22&lt;&gt;"Réalisé"),"Bientôt consommé","")))))</f>
        <v/>
      </c>
      <c r="N22" s="63" t="str">
        <f aca="false">IF($A22="","",Gantt!$F18)</f>
        <v/>
      </c>
    </row>
    <row r="23" customFormat="false" ht="15" hidden="false" customHeight="false" outlineLevel="0" collapsed="false">
      <c r="A23" s="122" t="str">
        <f aca="false">IF(Gantt!$C19="","",Gantt!$C19)</f>
        <v/>
      </c>
      <c r="B23" s="123" t="str">
        <f aca="false">IF($A23="","",Gantt!$B19)</f>
        <v/>
      </c>
      <c r="C23" s="123" t="str">
        <f aca="false">IF($A23="","",Gantt!$A19)</f>
        <v/>
      </c>
      <c r="D23" s="123" t="str">
        <f aca="false">IF($A23="","",Gantt!$D19)</f>
        <v/>
      </c>
      <c r="E23" s="123" t="str">
        <f aca="false">IF($A23="","",Gantt!$G19)</f>
        <v/>
      </c>
      <c r="F23" s="123" t="str">
        <f aca="false">IF($A23="","",IF(Gantt!$H19="","",TEXT(Gantt!$H19,"mmm yy")&amp;" → "&amp;TEXT(Gantt!$I19,"mmm yy")))</f>
        <v/>
      </c>
      <c r="G23" s="127" t="str">
        <f aca="false">IF($A23="","",SUMIF(Pointage!$C$4:$C$303,$A23,Pointage!$F$4:$F$303))</f>
        <v/>
      </c>
      <c r="H23" s="127" t="str">
        <f aca="false">IF($A23="","",$E23-$G23)</f>
        <v/>
      </c>
      <c r="I23" s="126" t="str">
        <f aca="false">IF(OR($A23="",N($E23)=0),"",$G23/$E23)</f>
        <v/>
      </c>
      <c r="J23" s="127" t="str">
        <f aca="false">IF($A23="","",Gantt!$E19)</f>
        <v/>
      </c>
      <c r="K23" s="127" t="str">
        <f aca="false">IF($A23="","",IF($G23=0,"Non commencé",IF($G23&gt;=$E23,"Terminé (charge atteinte)","En cours")))</f>
        <v/>
      </c>
      <c r="L23" s="128" t="str">
        <f aca="false">IF($A23="","",IFERROR(IF(_xlfn.MAXIFS(Pointage!$A$4:$A$303,Pointage!$C$4:$C$303,$A23)=0,"—",_xlfn.MAXIFS(Pointage!$A$4:$A$303,Pointage!$C$4:$C$303,$A23)),"—"))</f>
        <v/>
      </c>
      <c r="M23" s="127" t="str">
        <f aca="false">IF($A23="","",IF($G23&gt;$E23,"Dépassement de charge",IF(AND($J23="Réalisé",$G23&lt;$E23),"Réalisé mais sous-pointé",IF(AND($J23="Non commencé",$G23&gt;0),"Pointé mais non démarré",IF(AND(N($E23)&gt;0,$I23&gt;0.8,$J23&lt;&gt;"Réalisé"),"Bientôt consommé","")))))</f>
        <v/>
      </c>
      <c r="N23" s="127" t="str">
        <f aca="false">IF($A23="","",Gantt!$F19)</f>
        <v/>
      </c>
    </row>
    <row r="24" customFormat="false" ht="15" hidden="false" customHeight="false" outlineLevel="0" collapsed="false">
      <c r="A24" s="122" t="str">
        <f aca="false">IF(Gantt!$C20="","",Gantt!$C20)</f>
        <v/>
      </c>
      <c r="B24" s="123" t="str">
        <f aca="false">IF($A24="","",Gantt!$B20)</f>
        <v/>
      </c>
      <c r="C24" s="123" t="str">
        <f aca="false">IF($A24="","",Gantt!$A20)</f>
        <v/>
      </c>
      <c r="D24" s="123" t="str">
        <f aca="false">IF($A24="","",Gantt!$D20)</f>
        <v/>
      </c>
      <c r="E24" s="123" t="str">
        <f aca="false">IF($A24="","",Gantt!$G20)</f>
        <v/>
      </c>
      <c r="F24" s="123" t="str">
        <f aca="false">IF($A24="","",IF(Gantt!$H20="","",TEXT(Gantt!$H20,"mmm yy")&amp;" → "&amp;TEXT(Gantt!$I20,"mmm yy")))</f>
        <v/>
      </c>
      <c r="G24" s="56" t="str">
        <f aca="false">IF($A24="","",SUMIF(Pointage!$C$4:$C$303,$A24,Pointage!$F$4:$F$303))</f>
        <v/>
      </c>
      <c r="H24" s="56" t="str">
        <f aca="false">IF($A24="","",$E24-$G24)</f>
        <v/>
      </c>
      <c r="I24" s="71" t="str">
        <f aca="false">IF(OR($A24="",N($E24)=0),"",$G24/$E24)</f>
        <v/>
      </c>
      <c r="J24" s="56" t="str">
        <f aca="false">IF($A24="","",Gantt!$E20)</f>
        <v/>
      </c>
      <c r="K24" s="56" t="str">
        <f aca="false">IF($A24="","",IF($G24=0,"Non commencé",IF($G24&gt;=$E24,"Terminé (charge atteinte)","En cours")))</f>
        <v/>
      </c>
      <c r="L24" s="124" t="str">
        <f aca="false">IF($A24="","",IFERROR(IF(_xlfn.MAXIFS(Pointage!$A$4:$A$303,Pointage!$C$4:$C$303,$A24)=0,"—",_xlfn.MAXIFS(Pointage!$A$4:$A$303,Pointage!$C$4:$C$303,$A24)),"—"))</f>
        <v/>
      </c>
      <c r="M24" s="56" t="str">
        <f aca="false">IF($A24="","",IF($G24&gt;$E24,"Dépassement de charge",IF(AND($J24="Réalisé",$G24&lt;$E24),"Réalisé mais sous-pointé",IF(AND($J24="Non commencé",$G24&gt;0),"Pointé mais non démarré",IF(AND(N($E24)&gt;0,$I24&gt;0.8,$J24&lt;&gt;"Réalisé"),"Bientôt consommé","")))))</f>
        <v/>
      </c>
      <c r="N24" s="56" t="str">
        <f aca="false">IF($A24="","",Gantt!$F20)</f>
        <v/>
      </c>
    </row>
    <row r="25" customFormat="false" ht="15" hidden="false" customHeight="false" outlineLevel="0" collapsed="false">
      <c r="A25" s="122" t="str">
        <f aca="false">IF(Gantt!$C21="","",Gantt!$C21)</f>
        <v/>
      </c>
      <c r="B25" s="123" t="str">
        <f aca="false">IF($A25="","",Gantt!$B21)</f>
        <v/>
      </c>
      <c r="C25" s="123" t="str">
        <f aca="false">IF($A25="","",Gantt!$A21)</f>
        <v/>
      </c>
      <c r="D25" s="123" t="str">
        <f aca="false">IF($A25="","",Gantt!$D21)</f>
        <v/>
      </c>
      <c r="E25" s="123" t="str">
        <f aca="false">IF($A25="","",Gantt!$G21)</f>
        <v/>
      </c>
      <c r="F25" s="123" t="str">
        <f aca="false">IF($A25="","",IF(Gantt!$H21="","",TEXT(Gantt!$H21,"mmm yy")&amp;" → "&amp;TEXT(Gantt!$I21,"mmm yy")))</f>
        <v/>
      </c>
      <c r="G25" s="127" t="str">
        <f aca="false">IF($A25="","",SUMIF(Pointage!$C$4:$C$303,$A25,Pointage!$F$4:$F$303))</f>
        <v/>
      </c>
      <c r="H25" s="127" t="str">
        <f aca="false">IF($A25="","",$E25-$G25)</f>
        <v/>
      </c>
      <c r="I25" s="126" t="str">
        <f aca="false">IF(OR($A25="",N($E25)=0),"",$G25/$E25)</f>
        <v/>
      </c>
      <c r="J25" s="127" t="str">
        <f aca="false">IF($A25="","",Gantt!$E21)</f>
        <v/>
      </c>
      <c r="K25" s="127" t="str">
        <f aca="false">IF($A25="","",IF($G25=0,"Non commencé",IF($G25&gt;=$E25,"Terminé (charge atteinte)","En cours")))</f>
        <v/>
      </c>
      <c r="L25" s="128" t="str">
        <f aca="false">IF($A25="","",IFERROR(IF(_xlfn.MAXIFS(Pointage!$A$4:$A$303,Pointage!$C$4:$C$303,$A25)=0,"—",_xlfn.MAXIFS(Pointage!$A$4:$A$303,Pointage!$C$4:$C$303,$A25)),"—"))</f>
        <v/>
      </c>
      <c r="M25" s="127" t="str">
        <f aca="false">IF($A25="","",IF($G25&gt;$E25,"Dépassement de charge",IF(AND($J25="Réalisé",$G25&lt;$E25),"Réalisé mais sous-pointé",IF(AND($J25="Non commencé",$G25&gt;0),"Pointé mais non démarré",IF(AND(N($E25)&gt;0,$I25&gt;0.8,$J25&lt;&gt;"Réalisé"),"Bientôt consommé","")))))</f>
        <v/>
      </c>
      <c r="N25" s="127" t="str">
        <f aca="false">IF($A25="","",Gantt!$F21)</f>
        <v/>
      </c>
    </row>
    <row r="26" customFormat="false" ht="15" hidden="false" customHeight="false" outlineLevel="0" collapsed="false">
      <c r="A26" s="122" t="str">
        <f aca="false">IF(Gantt!$C22="","",Gantt!$C22)</f>
        <v/>
      </c>
      <c r="B26" s="123" t="str">
        <f aca="false">IF($A26="","",Gantt!$B22)</f>
        <v/>
      </c>
      <c r="C26" s="123" t="str">
        <f aca="false">IF($A26="","",Gantt!$A22)</f>
        <v/>
      </c>
      <c r="D26" s="123" t="str">
        <f aca="false">IF($A26="","",Gantt!$D22)</f>
        <v/>
      </c>
      <c r="E26" s="123" t="str">
        <f aca="false">IF($A26="","",Gantt!$G22)</f>
        <v/>
      </c>
      <c r="F26" s="123" t="str">
        <f aca="false">IF($A26="","",IF(Gantt!$H22="","",TEXT(Gantt!$H22,"mmm yy")&amp;" → "&amp;TEXT(Gantt!$I22,"mmm yy")))</f>
        <v/>
      </c>
      <c r="G26" s="63" t="str">
        <f aca="false">IF($A26="","",SUMIF(Pointage!$C$4:$C$303,$A26,Pointage!$F$4:$F$303))</f>
        <v/>
      </c>
      <c r="H26" s="56" t="str">
        <f aca="false">IF($A26="","",$E26-$G26)</f>
        <v/>
      </c>
      <c r="I26" s="71" t="str">
        <f aca="false">IF(OR($A26="",N($E26)=0),"",$G26/$E26)</f>
        <v/>
      </c>
      <c r="J26" s="56" t="str">
        <f aca="false">IF($A26="","",Gantt!$E22)</f>
        <v/>
      </c>
      <c r="K26" s="56" t="str">
        <f aca="false">IF($A26="","",IF($G26=0,"Non commencé",IF($G26&gt;=$E26,"Terminé (charge atteinte)","En cours")))</f>
        <v/>
      </c>
      <c r="L26" s="124" t="str">
        <f aca="false">IF($A26="","",IFERROR(IF(_xlfn.MAXIFS(Pointage!$A$4:$A$303,Pointage!$C$4:$C$303,$A26)=0,"—",_xlfn.MAXIFS(Pointage!$A$4:$A$303,Pointage!$C$4:$C$303,$A26)),"—"))</f>
        <v/>
      </c>
      <c r="M26" s="56" t="str">
        <f aca="false">IF($A26="","",IF($G26&gt;$E26,"Dépassement de charge",IF(AND($J26="Réalisé",$G26&lt;$E26),"Réalisé mais sous-pointé",IF(AND($J26="Non commencé",$G26&gt;0),"Pointé mais non démarré",IF(AND(N($E26)&gt;0,$I26&gt;0.8,$J26&lt;&gt;"Réalisé"),"Bientôt consommé","")))))</f>
        <v/>
      </c>
      <c r="N26" s="63" t="str">
        <f aca="false">IF($A26="","",Gantt!$F22)</f>
        <v/>
      </c>
    </row>
    <row r="27" customFormat="false" ht="15" hidden="false" customHeight="false" outlineLevel="0" collapsed="false">
      <c r="A27" s="122" t="str">
        <f aca="false">IF(Gantt!$C23="","",Gantt!$C23)</f>
        <v/>
      </c>
      <c r="B27" s="123" t="str">
        <f aca="false">IF($A27="","",Gantt!$B23)</f>
        <v/>
      </c>
      <c r="C27" s="123" t="str">
        <f aca="false">IF($A27="","",Gantt!$A23)</f>
        <v/>
      </c>
      <c r="D27" s="123" t="str">
        <f aca="false">IF($A27="","",Gantt!$D23)</f>
        <v/>
      </c>
      <c r="E27" s="123" t="str">
        <f aca="false">IF($A27="","",Gantt!$G23)</f>
        <v/>
      </c>
      <c r="F27" s="123" t="str">
        <f aca="false">IF($A27="","",IF(Gantt!$H23="","",TEXT(Gantt!$H23,"mmm yy")&amp;" → "&amp;TEXT(Gantt!$I23,"mmm yy")))</f>
        <v/>
      </c>
      <c r="G27" s="127" t="str">
        <f aca="false">IF($A27="","",SUMIF(Pointage!$C$4:$C$303,$A27,Pointage!$F$4:$F$303))</f>
        <v/>
      </c>
      <c r="H27" s="127" t="str">
        <f aca="false">IF($A27="","",$E27-$G27)</f>
        <v/>
      </c>
      <c r="I27" s="126" t="str">
        <f aca="false">IF(OR($A27="",N($E27)=0),"",$G27/$E27)</f>
        <v/>
      </c>
      <c r="J27" s="127" t="str">
        <f aca="false">IF($A27="","",Gantt!$E23)</f>
        <v/>
      </c>
      <c r="K27" s="127" t="str">
        <f aca="false">IF($A27="","",IF($G27=0,"Non commencé",IF($G27&gt;=$E27,"Terminé (charge atteinte)","En cours")))</f>
        <v/>
      </c>
      <c r="L27" s="128" t="str">
        <f aca="false">IF($A27="","",IFERROR(IF(_xlfn.MAXIFS(Pointage!$A$4:$A$303,Pointage!$C$4:$C$303,$A27)=0,"—",_xlfn.MAXIFS(Pointage!$A$4:$A$303,Pointage!$C$4:$C$303,$A27)),"—"))</f>
        <v/>
      </c>
      <c r="M27" s="127" t="str">
        <f aca="false">IF($A27="","",IF($G27&gt;$E27,"Dépassement de charge",IF(AND($J27="Réalisé",$G27&lt;$E27),"Réalisé mais sous-pointé",IF(AND($J27="Non commencé",$G27&gt;0),"Pointé mais non démarré",IF(AND(N($E27)&gt;0,$I27&gt;0.8,$J27&lt;&gt;"Réalisé"),"Bientôt consommé","")))))</f>
        <v/>
      </c>
      <c r="N27" s="127" t="str">
        <f aca="false">IF($A27="","",Gantt!$F23)</f>
        <v/>
      </c>
    </row>
    <row r="28" customFormat="false" ht="15" hidden="false" customHeight="false" outlineLevel="0" collapsed="false">
      <c r="A28" s="122" t="str">
        <f aca="false">IF(Gantt!$C24="","",Gantt!$C24)</f>
        <v/>
      </c>
      <c r="B28" s="123" t="str">
        <f aca="false">IF($A28="","",Gantt!$B24)</f>
        <v/>
      </c>
      <c r="C28" s="123" t="str">
        <f aca="false">IF($A28="","",Gantt!$A24)</f>
        <v/>
      </c>
      <c r="D28" s="123" t="str">
        <f aca="false">IF($A28="","",Gantt!$D24)</f>
        <v/>
      </c>
      <c r="E28" s="123" t="str">
        <f aca="false">IF($A28="","",Gantt!$G24)</f>
        <v/>
      </c>
      <c r="F28" s="123" t="str">
        <f aca="false">IF($A28="","",IF(Gantt!$H24="","",TEXT(Gantt!$H24,"mmm yy")&amp;" → "&amp;TEXT(Gantt!$I24,"mmm yy")))</f>
        <v/>
      </c>
      <c r="G28" s="63" t="str">
        <f aca="false">IF($A28="","",SUMIF(Pointage!$C$4:$C$303,$A28,Pointage!$F$4:$F$303))</f>
        <v/>
      </c>
      <c r="H28" s="56" t="str">
        <f aca="false">IF($A28="","",$E28-$G28)</f>
        <v/>
      </c>
      <c r="I28" s="71" t="str">
        <f aca="false">IF(OR($A28="",N($E28)=0),"",$G28/$E28)</f>
        <v/>
      </c>
      <c r="J28" s="56" t="str">
        <f aca="false">IF($A28="","",Gantt!$E24)</f>
        <v/>
      </c>
      <c r="K28" s="56" t="str">
        <f aca="false">IF($A28="","",IF($G28=0,"Non commencé",IF($G28&gt;=$E28,"Terminé (charge atteinte)","En cours")))</f>
        <v/>
      </c>
      <c r="L28" s="124" t="str">
        <f aca="false">IF($A28="","",IFERROR(IF(_xlfn.MAXIFS(Pointage!$A$4:$A$303,Pointage!$C$4:$C$303,$A28)=0,"—",_xlfn.MAXIFS(Pointage!$A$4:$A$303,Pointage!$C$4:$C$303,$A28)),"—"))</f>
        <v/>
      </c>
      <c r="M28" s="56" t="str">
        <f aca="false">IF($A28="","",IF($G28&gt;$E28,"Dépassement de charge",IF(AND($J28="Réalisé",$G28&lt;$E28),"Réalisé mais sous-pointé",IF(AND($J28="Non commencé",$G28&gt;0),"Pointé mais non démarré",IF(AND(N($E28)&gt;0,$I28&gt;0.8,$J28&lt;&gt;"Réalisé"),"Bientôt consommé","")))))</f>
        <v/>
      </c>
      <c r="N28" s="63" t="str">
        <f aca="false">IF($A28="","",Gantt!$F24)</f>
        <v/>
      </c>
    </row>
    <row r="29" customFormat="false" ht="15" hidden="false" customHeight="false" outlineLevel="0" collapsed="false">
      <c r="A29" s="122" t="str">
        <f aca="false">IF(Gantt!$C25="","",Gantt!$C25)</f>
        <v/>
      </c>
      <c r="B29" s="123" t="str">
        <f aca="false">IF($A29="","",Gantt!$B25)</f>
        <v/>
      </c>
      <c r="C29" s="123" t="str">
        <f aca="false">IF($A29="","",Gantt!$A25)</f>
        <v/>
      </c>
      <c r="D29" s="123" t="str">
        <f aca="false">IF($A29="","",Gantt!$D25)</f>
        <v/>
      </c>
      <c r="E29" s="123" t="str">
        <f aca="false">IF($A29="","",Gantt!$G25)</f>
        <v/>
      </c>
      <c r="F29" s="123" t="str">
        <f aca="false">IF($A29="","",IF(Gantt!$H25="","",TEXT(Gantt!$H25,"mmm yy")&amp;" → "&amp;TEXT(Gantt!$I25,"mmm yy")))</f>
        <v/>
      </c>
      <c r="G29" s="127" t="str">
        <f aca="false">IF($A29="","",SUMIF(Pointage!$C$4:$C$303,$A29,Pointage!$F$4:$F$303))</f>
        <v/>
      </c>
      <c r="H29" s="127" t="str">
        <f aca="false">IF($A29="","",$E29-$G29)</f>
        <v/>
      </c>
      <c r="I29" s="126" t="str">
        <f aca="false">IF(OR($A29="",N($E29)=0),"",$G29/$E29)</f>
        <v/>
      </c>
      <c r="J29" s="127" t="str">
        <f aca="false">IF($A29="","",Gantt!$E25)</f>
        <v/>
      </c>
      <c r="K29" s="127" t="str">
        <f aca="false">IF($A29="","",IF($G29=0,"Non commencé",IF($G29&gt;=$E29,"Terminé (charge atteinte)","En cours")))</f>
        <v/>
      </c>
      <c r="L29" s="128" t="str">
        <f aca="false">IF($A29="","",IFERROR(IF(_xlfn.MAXIFS(Pointage!$A$4:$A$303,Pointage!$C$4:$C$303,$A29)=0,"—",_xlfn.MAXIFS(Pointage!$A$4:$A$303,Pointage!$C$4:$C$303,$A29)),"—"))</f>
        <v/>
      </c>
      <c r="M29" s="127" t="str">
        <f aca="false">IF($A29="","",IF($G29&gt;$E29,"Dépassement de charge",IF(AND($J29="Réalisé",$G29&lt;$E29),"Réalisé mais sous-pointé",IF(AND($J29="Non commencé",$G29&gt;0),"Pointé mais non démarré",IF(AND(N($E29)&gt;0,$I29&gt;0.8,$J29&lt;&gt;"Réalisé"),"Bientôt consommé","")))))</f>
        <v/>
      </c>
      <c r="N29" s="127" t="str">
        <f aca="false">IF($A29="","",Gantt!$F25)</f>
        <v/>
      </c>
    </row>
    <row r="30" customFormat="false" ht="15" hidden="false" customHeight="false" outlineLevel="0" collapsed="false">
      <c r="A30" s="122" t="str">
        <f aca="false">IF(Gantt!$C26="","",Gantt!$C26)</f>
        <v/>
      </c>
      <c r="B30" s="123" t="str">
        <f aca="false">IF($A30="","",Gantt!$B26)</f>
        <v/>
      </c>
      <c r="C30" s="123" t="str">
        <f aca="false">IF($A30="","",Gantt!$A26)</f>
        <v/>
      </c>
      <c r="D30" s="123" t="str">
        <f aca="false">IF($A30="","",Gantt!$D26)</f>
        <v/>
      </c>
      <c r="E30" s="123" t="str">
        <f aca="false">IF($A30="","",Gantt!$G26)</f>
        <v/>
      </c>
      <c r="F30" s="123" t="str">
        <f aca="false">IF($A30="","",IF(Gantt!$H26="","",TEXT(Gantt!$H26,"mmm yy")&amp;" → "&amp;TEXT(Gantt!$I26,"mmm yy")))</f>
        <v/>
      </c>
      <c r="G30" s="56" t="str">
        <f aca="false">IF($A30="","",SUMIF(Pointage!$C$4:$C$303,$A30,Pointage!$F$4:$F$303))</f>
        <v/>
      </c>
      <c r="H30" s="56" t="str">
        <f aca="false">IF($A30="","",$E30-$G30)</f>
        <v/>
      </c>
      <c r="I30" s="71" t="str">
        <f aca="false">IF(OR($A30="",N($E30)=0),"",$G30/$E30)</f>
        <v/>
      </c>
      <c r="J30" s="56" t="str">
        <f aca="false">IF($A30="","",Gantt!$E26)</f>
        <v/>
      </c>
      <c r="K30" s="56" t="str">
        <f aca="false">IF($A30="","",IF($G30=0,"Non commencé",IF($G30&gt;=$E30,"Terminé (charge atteinte)","En cours")))</f>
        <v/>
      </c>
      <c r="L30" s="124" t="str">
        <f aca="false">IF($A30="","",IFERROR(IF(_xlfn.MAXIFS(Pointage!$A$4:$A$303,Pointage!$C$4:$C$303,$A30)=0,"—",_xlfn.MAXIFS(Pointage!$A$4:$A$303,Pointage!$C$4:$C$303,$A30)),"—"))</f>
        <v/>
      </c>
      <c r="M30" s="56" t="str">
        <f aca="false">IF($A30="","",IF($G30&gt;$E30,"Dépassement de charge",IF(AND($J30="Réalisé",$G30&lt;$E30),"Réalisé mais sous-pointé",IF(AND($J30="Non commencé",$G30&gt;0),"Pointé mais non démarré",IF(AND(N($E30)&gt;0,$I30&gt;0.8,$J30&lt;&gt;"Réalisé"),"Bientôt consommé","")))))</f>
        <v/>
      </c>
      <c r="N30" s="56" t="str">
        <f aca="false">IF($A30="","",Gantt!$F26)</f>
        <v/>
      </c>
    </row>
    <row r="31" customFormat="false" ht="15" hidden="false" customHeight="false" outlineLevel="0" collapsed="false">
      <c r="A31" s="122" t="str">
        <f aca="false">IF(Gantt!$C27="","",Gantt!$C27)</f>
        <v/>
      </c>
      <c r="B31" s="123" t="str">
        <f aca="false">IF($A31="","",Gantt!$B27)</f>
        <v/>
      </c>
      <c r="C31" s="123" t="str">
        <f aca="false">IF($A31="","",Gantt!$A27)</f>
        <v/>
      </c>
      <c r="D31" s="123" t="str">
        <f aca="false">IF($A31="","",Gantt!$D27)</f>
        <v/>
      </c>
      <c r="E31" s="123" t="str">
        <f aca="false">IF($A31="","",Gantt!$G27)</f>
        <v/>
      </c>
      <c r="F31" s="123" t="str">
        <f aca="false">IF($A31="","",IF(Gantt!$H27="","",TEXT(Gantt!$H27,"mmm yy")&amp;" → "&amp;TEXT(Gantt!$I27,"mmm yy")))</f>
        <v/>
      </c>
      <c r="G31" s="127" t="str">
        <f aca="false">IF($A31="","",SUMIF(Pointage!$C$4:$C$303,$A31,Pointage!$F$4:$F$303))</f>
        <v/>
      </c>
      <c r="H31" s="127" t="str">
        <f aca="false">IF($A31="","",$E31-$G31)</f>
        <v/>
      </c>
      <c r="I31" s="126" t="str">
        <f aca="false">IF(OR($A31="",N($E31)=0),"",$G31/$E31)</f>
        <v/>
      </c>
      <c r="J31" s="127" t="str">
        <f aca="false">IF($A31="","",Gantt!$E27)</f>
        <v/>
      </c>
      <c r="K31" s="127" t="str">
        <f aca="false">IF($A31="","",IF($G31=0,"Non commencé",IF($G31&gt;=$E31,"Terminé (charge atteinte)","En cours")))</f>
        <v/>
      </c>
      <c r="L31" s="128" t="str">
        <f aca="false">IF($A31="","",IFERROR(IF(_xlfn.MAXIFS(Pointage!$A$4:$A$303,Pointage!$C$4:$C$303,$A31)=0,"—",_xlfn.MAXIFS(Pointage!$A$4:$A$303,Pointage!$C$4:$C$303,$A31)),"—"))</f>
        <v/>
      </c>
      <c r="M31" s="127" t="str">
        <f aca="false">IF($A31="","",IF($G31&gt;$E31,"Dépassement de charge",IF(AND($J31="Réalisé",$G31&lt;$E31),"Réalisé mais sous-pointé",IF(AND($J31="Non commencé",$G31&gt;0),"Pointé mais non démarré",IF(AND(N($E31)&gt;0,$I31&gt;0.8,$J31&lt;&gt;"Réalisé"),"Bientôt consommé","")))))</f>
        <v/>
      </c>
      <c r="N31" s="127" t="str">
        <f aca="false">IF($A31="","",Gantt!$F27)</f>
        <v/>
      </c>
    </row>
    <row r="32" customFormat="false" ht="15" hidden="false" customHeight="false" outlineLevel="0" collapsed="false">
      <c r="A32" s="122" t="str">
        <f aca="false">IF(Gantt!$C28="","",Gantt!$C28)</f>
        <v/>
      </c>
      <c r="B32" s="123" t="str">
        <f aca="false">IF($A32="","",Gantt!$B28)</f>
        <v/>
      </c>
      <c r="C32" s="123" t="str">
        <f aca="false">IF($A32="","",Gantt!$A28)</f>
        <v/>
      </c>
      <c r="D32" s="123" t="str">
        <f aca="false">IF($A32="","",Gantt!$D28)</f>
        <v/>
      </c>
      <c r="E32" s="123" t="str">
        <f aca="false">IF($A32="","",Gantt!$G28)</f>
        <v/>
      </c>
      <c r="F32" s="123" t="str">
        <f aca="false">IF($A32="","",IF(Gantt!$H28="","",TEXT(Gantt!$H28,"mmm yy")&amp;" → "&amp;TEXT(Gantt!$I28,"mmm yy")))</f>
        <v/>
      </c>
      <c r="G32" s="56" t="str">
        <f aca="false">IF($A32="","",SUMIF(Pointage!$C$4:$C$303,$A32,Pointage!$F$4:$F$303))</f>
        <v/>
      </c>
      <c r="H32" s="56" t="str">
        <f aca="false">IF($A32="","",$E32-$G32)</f>
        <v/>
      </c>
      <c r="I32" s="71" t="str">
        <f aca="false">IF(OR($A32="",N($E32)=0),"",$G32/$E32)</f>
        <v/>
      </c>
      <c r="J32" s="56" t="str">
        <f aca="false">IF($A32="","",Gantt!$E28)</f>
        <v/>
      </c>
      <c r="K32" s="56" t="str">
        <f aca="false">IF($A32="","",IF($G32=0,"Non commencé",IF($G32&gt;=$E32,"Terminé (charge atteinte)","En cours")))</f>
        <v/>
      </c>
      <c r="L32" s="124" t="str">
        <f aca="false">IF($A32="","",IFERROR(IF(_xlfn.MAXIFS(Pointage!$A$4:$A$303,Pointage!$C$4:$C$303,$A32)=0,"—",_xlfn.MAXIFS(Pointage!$A$4:$A$303,Pointage!$C$4:$C$303,$A32)),"—"))</f>
        <v/>
      </c>
      <c r="M32" s="56" t="str">
        <f aca="false">IF($A32="","",IF($G32&gt;$E32,"Dépassement de charge",IF(AND($J32="Réalisé",$G32&lt;$E32),"Réalisé mais sous-pointé",IF(AND($J32="Non commencé",$G32&gt;0),"Pointé mais non démarré",IF(AND(N($E32)&gt;0,$I32&gt;0.8,$J32&lt;&gt;"Réalisé"),"Bientôt consommé","")))))</f>
        <v/>
      </c>
      <c r="N32" s="56" t="str">
        <f aca="false">IF($A32="","",Gantt!$F28)</f>
        <v/>
      </c>
    </row>
    <row r="33" customFormat="false" ht="15" hidden="false" customHeight="false" outlineLevel="0" collapsed="false">
      <c r="A33" s="122" t="str">
        <f aca="false">IF(Gantt!$C29="","",Gantt!$C29)</f>
        <v/>
      </c>
      <c r="B33" s="123" t="str">
        <f aca="false">IF($A33="","",Gantt!$B29)</f>
        <v/>
      </c>
      <c r="C33" s="123" t="str">
        <f aca="false">IF($A33="","",Gantt!$A29)</f>
        <v/>
      </c>
      <c r="D33" s="123" t="str">
        <f aca="false">IF($A33="","",Gantt!$D29)</f>
        <v/>
      </c>
      <c r="E33" s="123" t="str">
        <f aca="false">IF($A33="","",Gantt!$G29)</f>
        <v/>
      </c>
      <c r="F33" s="123" t="str">
        <f aca="false">IF($A33="","",IF(Gantt!$H29="","",TEXT(Gantt!$H29,"mmm yy")&amp;" → "&amp;TEXT(Gantt!$I29,"mmm yy")))</f>
        <v/>
      </c>
      <c r="G33" s="127" t="str">
        <f aca="false">IF($A33="","",SUMIF(Pointage!$C$4:$C$303,$A33,Pointage!$F$4:$F$303))</f>
        <v/>
      </c>
      <c r="H33" s="127" t="str">
        <f aca="false">IF($A33="","",$E33-$G33)</f>
        <v/>
      </c>
      <c r="I33" s="126" t="str">
        <f aca="false">IF(OR($A33="",N($E33)=0),"",$G33/$E33)</f>
        <v/>
      </c>
      <c r="J33" s="127" t="str">
        <f aca="false">IF($A33="","",Gantt!$E29)</f>
        <v/>
      </c>
      <c r="K33" s="127" t="str">
        <f aca="false">IF($A33="","",IF($G33=0,"Non commencé",IF($G33&gt;=$E33,"Terminé (charge atteinte)","En cours")))</f>
        <v/>
      </c>
      <c r="L33" s="128" t="str">
        <f aca="false">IF($A33="","",IFERROR(IF(_xlfn.MAXIFS(Pointage!$A$4:$A$303,Pointage!$C$4:$C$303,$A33)=0,"—",_xlfn.MAXIFS(Pointage!$A$4:$A$303,Pointage!$C$4:$C$303,$A33)),"—"))</f>
        <v/>
      </c>
      <c r="M33" s="127" t="str">
        <f aca="false">IF($A33="","",IF($G33&gt;$E33,"Dépassement de charge",IF(AND($J33="Réalisé",$G33&lt;$E33),"Réalisé mais sous-pointé",IF(AND($J33="Non commencé",$G33&gt;0),"Pointé mais non démarré",IF(AND(N($E33)&gt;0,$I33&gt;0.8,$J33&lt;&gt;"Réalisé"),"Bientôt consommé","")))))</f>
        <v/>
      </c>
      <c r="N33" s="127" t="str">
        <f aca="false">IF($A33="","",Gantt!$F29)</f>
        <v/>
      </c>
    </row>
    <row r="34" customFormat="false" ht="15" hidden="false" customHeight="false" outlineLevel="0" collapsed="false">
      <c r="A34" s="122" t="str">
        <f aca="false">IF(Gantt!$C30="","",Gantt!$C30)</f>
        <v/>
      </c>
      <c r="B34" s="123" t="str">
        <f aca="false">IF($A34="","",Gantt!$B30)</f>
        <v/>
      </c>
      <c r="C34" s="123" t="str">
        <f aca="false">IF($A34="","",Gantt!$A30)</f>
        <v/>
      </c>
      <c r="D34" s="123" t="str">
        <f aca="false">IF($A34="","",Gantt!$D30)</f>
        <v/>
      </c>
      <c r="E34" s="123" t="str">
        <f aca="false">IF($A34="","",Gantt!$G30)</f>
        <v/>
      </c>
      <c r="F34" s="123" t="str">
        <f aca="false">IF($A34="","",IF(Gantt!$H30="","",TEXT(Gantt!$H30,"mmm yy")&amp;" → "&amp;TEXT(Gantt!$I30,"mmm yy")))</f>
        <v/>
      </c>
      <c r="G34" s="56" t="str">
        <f aca="false">IF($A34="","",SUMIF(Pointage!$C$4:$C$303,$A34,Pointage!$F$4:$F$303))</f>
        <v/>
      </c>
      <c r="H34" s="56" t="str">
        <f aca="false">IF($A34="","",$E34-$G34)</f>
        <v/>
      </c>
      <c r="I34" s="71" t="str">
        <f aca="false">IF(OR($A34="",N($E34)=0),"",$G34/$E34)</f>
        <v/>
      </c>
      <c r="J34" s="56" t="str">
        <f aca="false">IF($A34="","",Gantt!$E30)</f>
        <v/>
      </c>
      <c r="K34" s="56" t="str">
        <f aca="false">IF($A34="","",IF($G34=0,"Non commencé",IF($G34&gt;=$E34,"Terminé (charge atteinte)","En cours")))</f>
        <v/>
      </c>
      <c r="L34" s="124" t="str">
        <f aca="false">IF($A34="","",IFERROR(IF(_xlfn.MAXIFS(Pointage!$A$4:$A$303,Pointage!$C$4:$C$303,$A34)=0,"—",_xlfn.MAXIFS(Pointage!$A$4:$A$303,Pointage!$C$4:$C$303,$A34)),"—"))</f>
        <v/>
      </c>
      <c r="M34" s="56" t="str">
        <f aca="false">IF($A34="","",IF($G34&gt;$E34,"Dépassement de charge",IF(AND($J34="Réalisé",$G34&lt;$E34),"Réalisé mais sous-pointé",IF(AND($J34="Non commencé",$G34&gt;0),"Pointé mais non démarré",IF(AND(N($E34)&gt;0,$I34&gt;0.8,$J34&lt;&gt;"Réalisé"),"Bientôt consommé","")))))</f>
        <v/>
      </c>
      <c r="N34" s="56" t="str">
        <f aca="false">IF($A34="","",Gantt!$F30)</f>
        <v/>
      </c>
    </row>
    <row r="35" customFormat="false" ht="15" hidden="false" customHeight="false" outlineLevel="0" collapsed="false">
      <c r="A35" s="122" t="str">
        <f aca="false">IF(Gantt!$C31="","",Gantt!$C31)</f>
        <v/>
      </c>
      <c r="B35" s="123" t="str">
        <f aca="false">IF($A35="","",Gantt!$B31)</f>
        <v/>
      </c>
      <c r="C35" s="123" t="str">
        <f aca="false">IF($A35="","",Gantt!$A31)</f>
        <v/>
      </c>
      <c r="D35" s="123" t="str">
        <f aca="false">IF($A35="","",Gantt!$D31)</f>
        <v/>
      </c>
      <c r="E35" s="123" t="str">
        <f aca="false">IF($A35="","",Gantt!$G31)</f>
        <v/>
      </c>
      <c r="F35" s="123" t="str">
        <f aca="false">IF($A35="","",IF(Gantt!$H31="","",TEXT(Gantt!$H31,"mmm yy")&amp;" → "&amp;TEXT(Gantt!$I31,"mmm yy")))</f>
        <v/>
      </c>
      <c r="G35" s="127" t="str">
        <f aca="false">IF($A35="","",SUMIF(Pointage!$C$4:$C$303,$A35,Pointage!$F$4:$F$303))</f>
        <v/>
      </c>
      <c r="H35" s="127" t="str">
        <f aca="false">IF($A35="","",$E35-$G35)</f>
        <v/>
      </c>
      <c r="I35" s="126" t="str">
        <f aca="false">IF(OR($A35="",N($E35)=0),"",$G35/$E35)</f>
        <v/>
      </c>
      <c r="J35" s="127" t="str">
        <f aca="false">IF($A35="","",Gantt!$E31)</f>
        <v/>
      </c>
      <c r="K35" s="127" t="str">
        <f aca="false">IF($A35="","",IF($G35=0,"Non commencé",IF($G35&gt;=$E35,"Terminé (charge atteinte)","En cours")))</f>
        <v/>
      </c>
      <c r="L35" s="128" t="str">
        <f aca="false">IF($A35="","",IFERROR(IF(_xlfn.MAXIFS(Pointage!$A$4:$A$303,Pointage!$C$4:$C$303,$A35)=0,"—",_xlfn.MAXIFS(Pointage!$A$4:$A$303,Pointage!$C$4:$C$303,$A35)),"—"))</f>
        <v/>
      </c>
      <c r="M35" s="127" t="str">
        <f aca="false">IF($A35="","",IF($G35&gt;$E35,"Dépassement de charge",IF(AND($J35="Réalisé",$G35&lt;$E35),"Réalisé mais sous-pointé",IF(AND($J35="Non commencé",$G35&gt;0),"Pointé mais non démarré",IF(AND(N($E35)&gt;0,$I35&gt;0.8,$J35&lt;&gt;"Réalisé"),"Bientôt consommé","")))))</f>
        <v/>
      </c>
      <c r="N35" s="127" t="str">
        <f aca="false">IF($A35="","",Gantt!$F31)</f>
        <v/>
      </c>
    </row>
    <row r="36" customFormat="false" ht="15" hidden="false" customHeight="false" outlineLevel="0" collapsed="false">
      <c r="A36" s="122" t="str">
        <f aca="false">IF(Gantt!$C32="","",Gantt!$C32)</f>
        <v/>
      </c>
      <c r="B36" s="123" t="str">
        <f aca="false">IF($A36="","",Gantt!$B32)</f>
        <v/>
      </c>
      <c r="C36" s="123" t="str">
        <f aca="false">IF($A36="","",Gantt!$A32)</f>
        <v/>
      </c>
      <c r="D36" s="123" t="str">
        <f aca="false">IF($A36="","",Gantt!$D32)</f>
        <v/>
      </c>
      <c r="E36" s="123" t="str">
        <f aca="false">IF($A36="","",Gantt!$G32)</f>
        <v/>
      </c>
      <c r="F36" s="123" t="str">
        <f aca="false">IF($A36="","",IF(Gantt!$H32="","",TEXT(Gantt!$H32,"mmm yy")&amp;" → "&amp;TEXT(Gantt!$I32,"mmm yy")))</f>
        <v/>
      </c>
      <c r="G36" s="56" t="str">
        <f aca="false">IF($A36="","",SUMIF(Pointage!$C$4:$C$303,$A36,Pointage!$F$4:$F$303))</f>
        <v/>
      </c>
      <c r="H36" s="56" t="str">
        <f aca="false">IF($A36="","",$E36-$G36)</f>
        <v/>
      </c>
      <c r="I36" s="71" t="str">
        <f aca="false">IF(OR($A36="",N($E36)=0),"",$G36/$E36)</f>
        <v/>
      </c>
      <c r="J36" s="56" t="str">
        <f aca="false">IF($A36="","",Gantt!$E32)</f>
        <v/>
      </c>
      <c r="K36" s="56" t="str">
        <f aca="false">IF($A36="","",IF($G36=0,"Non commencé",IF($G36&gt;=$E36,"Terminé (charge atteinte)","En cours")))</f>
        <v/>
      </c>
      <c r="L36" s="124" t="str">
        <f aca="false">IF($A36="","",IFERROR(IF(_xlfn.MAXIFS(Pointage!$A$4:$A$303,Pointage!$C$4:$C$303,$A36)=0,"—",_xlfn.MAXIFS(Pointage!$A$4:$A$303,Pointage!$C$4:$C$303,$A36)),"—"))</f>
        <v/>
      </c>
      <c r="M36" s="56" t="str">
        <f aca="false">IF($A36="","",IF($G36&gt;$E36,"Dépassement de charge",IF(AND($J36="Réalisé",$G36&lt;$E36),"Réalisé mais sous-pointé",IF(AND($J36="Non commencé",$G36&gt;0),"Pointé mais non démarré",IF(AND(N($E36)&gt;0,$I36&gt;0.8,$J36&lt;&gt;"Réalisé"),"Bientôt consommé","")))))</f>
        <v/>
      </c>
      <c r="N36" s="56" t="str">
        <f aca="false">IF($A36="","",Gantt!$F32)</f>
        <v/>
      </c>
    </row>
    <row r="37" customFormat="false" ht="15" hidden="false" customHeight="false" outlineLevel="0" collapsed="false">
      <c r="A37" s="122" t="str">
        <f aca="false">IF(Gantt!$C33="","",Gantt!$C33)</f>
        <v/>
      </c>
      <c r="B37" s="123" t="str">
        <f aca="false">IF($A37="","",Gantt!$B33)</f>
        <v/>
      </c>
      <c r="C37" s="123" t="str">
        <f aca="false">IF($A37="","",Gantt!$A33)</f>
        <v/>
      </c>
      <c r="D37" s="123" t="str">
        <f aca="false">IF($A37="","",Gantt!$D33)</f>
        <v/>
      </c>
      <c r="E37" s="123" t="str">
        <f aca="false">IF($A37="","",Gantt!$G33)</f>
        <v/>
      </c>
      <c r="F37" s="123" t="str">
        <f aca="false">IF($A37="","",IF(Gantt!$H33="","",TEXT(Gantt!$H33,"mmm yy")&amp;" → "&amp;TEXT(Gantt!$I33,"mmm yy")))</f>
        <v/>
      </c>
      <c r="G37" s="127" t="str">
        <f aca="false">IF($A37="","",SUMIF(Pointage!$C$4:$C$303,$A37,Pointage!$F$4:$F$303))</f>
        <v/>
      </c>
      <c r="H37" s="127" t="str">
        <f aca="false">IF($A37="","",$E37-$G37)</f>
        <v/>
      </c>
      <c r="I37" s="126" t="str">
        <f aca="false">IF(OR($A37="",N($E37)=0),"",$G37/$E37)</f>
        <v/>
      </c>
      <c r="J37" s="127" t="str">
        <f aca="false">IF($A37="","",Gantt!$E33)</f>
        <v/>
      </c>
      <c r="K37" s="127" t="str">
        <f aca="false">IF($A37="","",IF($G37=0,"Non commencé",IF($G37&gt;=$E37,"Terminé (charge atteinte)","En cours")))</f>
        <v/>
      </c>
      <c r="L37" s="128" t="str">
        <f aca="false">IF($A37="","",IFERROR(IF(_xlfn.MAXIFS(Pointage!$A$4:$A$303,Pointage!$C$4:$C$303,$A37)=0,"—",_xlfn.MAXIFS(Pointage!$A$4:$A$303,Pointage!$C$4:$C$303,$A37)),"—"))</f>
        <v/>
      </c>
      <c r="M37" s="127" t="str">
        <f aca="false">IF($A37="","",IF($G37&gt;$E37,"Dépassement de charge",IF(AND($J37="Réalisé",$G37&lt;$E37),"Réalisé mais sous-pointé",IF(AND($J37="Non commencé",$G37&gt;0),"Pointé mais non démarré",IF(AND(N($E37)&gt;0,$I37&gt;0.8,$J37&lt;&gt;"Réalisé"),"Bientôt consommé","")))))</f>
        <v/>
      </c>
      <c r="N37" s="127" t="str">
        <f aca="false">IF($A37="","",Gantt!$F33)</f>
        <v/>
      </c>
    </row>
    <row r="38" customFormat="false" ht="15" hidden="false" customHeight="false" outlineLevel="0" collapsed="false">
      <c r="A38" s="49" t="s">
        <v>32</v>
      </c>
      <c r="B38" s="50"/>
      <c r="C38" s="50"/>
      <c r="D38" s="50"/>
      <c r="E38" s="50" t="n">
        <f aca="false">SUM(E8:E37)</f>
        <v>1620</v>
      </c>
      <c r="F38" s="50"/>
      <c r="G38" s="50" t="n">
        <f aca="false">SUM(G8:G37)</f>
        <v>143</v>
      </c>
      <c r="H38" s="50" t="n">
        <f aca="false">SUM(H8:H37)</f>
        <v>1477</v>
      </c>
      <c r="I38" s="129" t="n">
        <f aca="false">IFERROR(G38/E38,0)</f>
        <v>0.0882716049382716</v>
      </c>
      <c r="J38" s="50"/>
      <c r="K38" s="50"/>
      <c r="L38" s="50"/>
      <c r="M38" s="50"/>
      <c r="N38" s="50"/>
    </row>
    <row r="41" customFormat="false" ht="15" hidden="false" customHeight="false" outlineLevel="0" collapsed="false">
      <c r="A41" s="118" t="s">
        <v>122</v>
      </c>
      <c r="B41" s="118"/>
      <c r="C41" s="118"/>
      <c r="D41" s="118"/>
      <c r="E41" s="130" t="s">
        <v>123</v>
      </c>
      <c r="F41" s="130"/>
      <c r="G41" s="130"/>
      <c r="H41" s="130"/>
      <c r="I41" s="130"/>
      <c r="J41" s="130"/>
    </row>
    <row r="42" customFormat="false" ht="24" hidden="false" customHeight="true" outlineLevel="0" collapsed="false">
      <c r="A42" s="120" t="s">
        <v>63</v>
      </c>
      <c r="B42" s="120" t="s">
        <v>64</v>
      </c>
      <c r="C42" s="120" t="s">
        <v>124</v>
      </c>
      <c r="D42" s="120" t="s">
        <v>125</v>
      </c>
      <c r="E42" s="78" t="s">
        <v>115</v>
      </c>
      <c r="F42" s="78" t="s">
        <v>93</v>
      </c>
      <c r="G42" s="78" t="s">
        <v>69</v>
      </c>
      <c r="H42" s="78" t="s">
        <v>126</v>
      </c>
      <c r="I42" s="78" t="s">
        <v>127</v>
      </c>
      <c r="J42" s="78" t="s">
        <v>121</v>
      </c>
    </row>
    <row r="43" customFormat="false" ht="15" hidden="false" customHeight="false" outlineLevel="0" collapsed="false">
      <c r="A43" s="131" t="str">
        <f aca="false">IF(Financement!$A4="","",Financement!$A4)</f>
        <v>Interne</v>
      </c>
      <c r="B43" s="123" t="str">
        <f aca="false">IF($A43="","",Financement!$B4)</f>
        <v>Confirmé</v>
      </c>
      <c r="C43" s="132" t="n">
        <f aca="false">IF($A43="","",Financement!$D4)</f>
        <v>600</v>
      </c>
      <c r="D43" s="132" t="n">
        <f aca="false">IF($A43="","",Financement!$E4)</f>
        <v>320</v>
      </c>
      <c r="E43" s="63" t="n">
        <f aca="false">IF($A43="","",SUMIF(Pointage!$E$4:$E$303,$A43,Pointage!$F$4:$F$303))</f>
        <v>83</v>
      </c>
      <c r="F43" s="63" t="n">
        <f aca="false">IF($A43="","",$C43-$E43)</f>
        <v>517</v>
      </c>
      <c r="G43" s="71" t="n">
        <f aca="false">IF(OR($A43="",N($C43)=0),"",$E43/$C43)</f>
        <v>0.138333333333333</v>
      </c>
      <c r="H43" s="63" t="n">
        <f aca="false">IF($A43="","",MAX(0,$D43-$E43))</f>
        <v>237</v>
      </c>
      <c r="I43" s="63" t="n">
        <f aca="false">IF($A43="","",$E43+$H43)</f>
        <v>320</v>
      </c>
      <c r="J43" s="56" t="str">
        <f aca="false">IF($A43="","",IF($E43&gt;$C43,"Budget dépassé",IF($I43&gt;$C43,"Dépassement projeté",IF(AND($A43&lt;&gt;"",$B43&lt;&gt;"Confirmé",$E43&gt;0),"Pointé sur source non confirmée",""))))</f>
        <v/>
      </c>
    </row>
    <row r="44" customFormat="false" ht="15" hidden="false" customHeight="false" outlineLevel="0" collapsed="false">
      <c r="A44" s="131" t="str">
        <f aca="false">IF(Financement!$A5="","",Financement!$A5)</f>
        <v>Client A</v>
      </c>
      <c r="B44" s="123" t="str">
        <f aca="false">IF($A44="","",Financement!$B5)</f>
        <v>Confirmé</v>
      </c>
      <c r="C44" s="132" t="n">
        <f aca="false">IF($A44="","",Financement!$D5)</f>
        <v>900</v>
      </c>
      <c r="D44" s="132" t="n">
        <f aca="false">IF($A44="","",Financement!$E5)</f>
        <v>1020</v>
      </c>
      <c r="E44" s="79" t="n">
        <f aca="false">IF($A44="","",SUMIF(Pointage!$E$4:$E$303,$A44,Pointage!$F$4:$F$303))</f>
        <v>60</v>
      </c>
      <c r="F44" s="81" t="n">
        <f aca="false">IF($A44="","",$C44-$E44)</f>
        <v>840</v>
      </c>
      <c r="G44" s="80" t="n">
        <f aca="false">IF(OR($A44="",N($C44)=0),"",$E44/$C44)</f>
        <v>0.0666666666666667</v>
      </c>
      <c r="H44" s="79" t="n">
        <f aca="false">IF($A44="","",MAX(0,$D44-$E44))</f>
        <v>960</v>
      </c>
      <c r="I44" s="79" t="n">
        <f aca="false">IF($A44="","",$E44+$H44)</f>
        <v>1020</v>
      </c>
      <c r="J44" s="81" t="str">
        <f aca="false">IF($A44="","",IF($E44&gt;$C44,"Budget dépassé",IF($I44&gt;$C44,"Dépassement projeté",IF(AND($A44&lt;&gt;"",$B44&lt;&gt;"Confirmé",$E44&gt;0),"Pointé sur source non confirmée",""))))</f>
        <v>Dépassement projeté</v>
      </c>
    </row>
    <row r="45" customFormat="false" ht="15" hidden="false" customHeight="false" outlineLevel="0" collapsed="false">
      <c r="A45" s="131" t="str">
        <f aca="false">IF(Financement!$A6="","",Financement!$A6)</f>
        <v>Subvention</v>
      </c>
      <c r="B45" s="123" t="str">
        <f aca="false">IF($A45="","",Financement!$B6)</f>
        <v>Pressenti</v>
      </c>
      <c r="C45" s="132" t="n">
        <f aca="false">IF($A45="","",Financement!$D6)</f>
        <v>300</v>
      </c>
      <c r="D45" s="132" t="n">
        <f aca="false">IF($A45="","",Financement!$E6)</f>
        <v>180</v>
      </c>
      <c r="E45" s="63" t="n">
        <f aca="false">IF($A45="","",SUMIF(Pointage!$E$4:$E$303,$A45,Pointage!$F$4:$F$303))</f>
        <v>0</v>
      </c>
      <c r="F45" s="63" t="n">
        <f aca="false">IF($A45="","",$C45-$E45)</f>
        <v>300</v>
      </c>
      <c r="G45" s="71" t="n">
        <f aca="false">IF(OR($A45="",N($C45)=0),"",$E45/$C45)</f>
        <v>0</v>
      </c>
      <c r="H45" s="63" t="n">
        <f aca="false">IF($A45="","",MAX(0,$D45-$E45))</f>
        <v>180</v>
      </c>
      <c r="I45" s="63" t="n">
        <f aca="false">IF($A45="","",$E45+$H45)</f>
        <v>180</v>
      </c>
      <c r="J45" s="56" t="str">
        <f aca="false">IF($A45="","",IF($E45&gt;$C45,"Budget dépassé",IF($I45&gt;$C45,"Dépassement projeté",IF(AND($A45&lt;&gt;"",$B45&lt;&gt;"Confirmé",$E45&gt;0),"Pointé sur source non confirmée",""))))</f>
        <v/>
      </c>
    </row>
    <row r="46" customFormat="false" ht="15" hidden="false" customHeight="false" outlineLevel="0" collapsed="false">
      <c r="A46" s="131" t="str">
        <f aca="false">IF(Financement!$A7="","",Financement!$A7)</f>
        <v>Client B</v>
      </c>
      <c r="B46" s="123" t="str">
        <f aca="false">IF($A46="","",Financement!$B7)</f>
        <v>Option</v>
      </c>
      <c r="C46" s="132" t="n">
        <f aca="false">IF($A46="","",Financement!$D7)</f>
        <v>400</v>
      </c>
      <c r="D46" s="132" t="n">
        <f aca="false">IF($A46="","",Financement!$E7)</f>
        <v>100</v>
      </c>
      <c r="E46" s="79" t="n">
        <f aca="false">IF($A46="","",SUMIF(Pointage!$E$4:$E$303,$A46,Pointage!$F$4:$F$303))</f>
        <v>0</v>
      </c>
      <c r="F46" s="81" t="n">
        <f aca="false">IF($A46="","",$C46-$E46)</f>
        <v>400</v>
      </c>
      <c r="G46" s="80" t="n">
        <f aca="false">IF(OR($A46="",N($C46)=0),"",$E46/$C46)</f>
        <v>0</v>
      </c>
      <c r="H46" s="79" t="n">
        <f aca="false">IF($A46="","",MAX(0,$D46-$E46))</f>
        <v>100</v>
      </c>
      <c r="I46" s="79" t="n">
        <f aca="false">IF($A46="","",$E46+$H46)</f>
        <v>100</v>
      </c>
      <c r="J46" s="81" t="str">
        <f aca="false">IF($A46="","",IF($E46&gt;$C46,"Budget dépassé",IF($I46&gt;$C46,"Dépassement projeté",IF(AND($A46&lt;&gt;"",$B46&lt;&gt;"Confirmé",$E46&gt;0),"Pointé sur source non confirmée",""))))</f>
        <v/>
      </c>
    </row>
    <row r="47" customFormat="false" ht="15" hidden="false" customHeight="false" outlineLevel="0" collapsed="false">
      <c r="A47" s="131" t="str">
        <f aca="false">IF(Financement!$A8="","",Financement!$A8)</f>
        <v/>
      </c>
      <c r="B47" s="123" t="str">
        <f aca="false">IF($A47="","",Financement!$B8)</f>
        <v/>
      </c>
      <c r="C47" s="132" t="str">
        <f aca="false">IF($A47="","",Financement!$D8)</f>
        <v/>
      </c>
      <c r="D47" s="132" t="str">
        <f aca="false">IF($A47="","",Financement!$E8)</f>
        <v/>
      </c>
      <c r="E47" s="63" t="str">
        <f aca="false">IF($A47="","",SUMIF(Pointage!$E$4:$E$303,$A47,Pointage!$F$4:$F$303))</f>
        <v/>
      </c>
      <c r="F47" s="56" t="str">
        <f aca="false">IF($A47="","",$C47-$E47)</f>
        <v/>
      </c>
      <c r="G47" s="71" t="str">
        <f aca="false">IF(OR($A47="",N($C47)=0),"",$E47/$C47)</f>
        <v/>
      </c>
      <c r="H47" s="63" t="str">
        <f aca="false">IF($A47="","",MAX(0,$D47-$E47))</f>
        <v/>
      </c>
      <c r="I47" s="63" t="str">
        <f aca="false">IF($A47="","",$E47+$H47)</f>
        <v/>
      </c>
      <c r="J47" s="56" t="str">
        <f aca="false">IF($A47="","",IF($E47&gt;$C47,"Budget dépassé",IF($I47&gt;$C47,"Dépassement projeté",IF(AND($A47&lt;&gt;"",$B47&lt;&gt;"Confirmé",$E47&gt;0),"Pointé sur source non confirmée",""))))</f>
        <v/>
      </c>
    </row>
    <row r="48" customFormat="false" ht="15" hidden="false" customHeight="false" outlineLevel="0" collapsed="false">
      <c r="A48" s="131" t="str">
        <f aca="false">IF(Financement!$A9="","",Financement!$A9)</f>
        <v/>
      </c>
      <c r="B48" s="123" t="str">
        <f aca="false">IF($A48="","",Financement!$B9)</f>
        <v/>
      </c>
      <c r="C48" s="132" t="str">
        <f aca="false">IF($A48="","",Financement!$D9)</f>
        <v/>
      </c>
      <c r="D48" s="132" t="str">
        <f aca="false">IF($A48="","",Financement!$E9)</f>
        <v/>
      </c>
      <c r="E48" s="79" t="str">
        <f aca="false">IF($A48="","",SUMIF(Pointage!$E$4:$E$303,$A48,Pointage!$F$4:$F$303))</f>
        <v/>
      </c>
      <c r="F48" s="81" t="str">
        <f aca="false">IF($A48="","",$C48-$E48)</f>
        <v/>
      </c>
      <c r="G48" s="80" t="str">
        <f aca="false">IF(OR($A48="",N($C48)=0),"",$E48/$C48)</f>
        <v/>
      </c>
      <c r="H48" s="79" t="str">
        <f aca="false">IF($A48="","",MAX(0,$D48-$E48))</f>
        <v/>
      </c>
      <c r="I48" s="79" t="str">
        <f aca="false">IF($A48="","",$E48+$H48)</f>
        <v/>
      </c>
      <c r="J48" s="81" t="str">
        <f aca="false">IF($A48="","",IF($E48&gt;$C48,"Budget dépassé",IF($I48&gt;$C48,"Dépassement projeté",IF(AND($A48&lt;&gt;"",$B48&lt;&gt;"Confirmé",$E48&gt;0),"Pointé sur source non confirmée",""))))</f>
        <v/>
      </c>
    </row>
    <row r="49" customFormat="false" ht="15" hidden="false" customHeight="false" outlineLevel="0" collapsed="false">
      <c r="A49" s="131" t="str">
        <f aca="false">IF(Financement!$A10="","",Financement!$A10)</f>
        <v/>
      </c>
      <c r="B49" s="123" t="str">
        <f aca="false">IF($A49="","",Financement!$B10)</f>
        <v/>
      </c>
      <c r="C49" s="132" t="str">
        <f aca="false">IF($A49="","",Financement!$D10)</f>
        <v/>
      </c>
      <c r="D49" s="132" t="str">
        <f aca="false">IF($A49="","",Financement!$E10)</f>
        <v/>
      </c>
      <c r="E49" s="63" t="str">
        <f aca="false">IF($A49="","",SUMIF(Pointage!$E$4:$E$303,$A49,Pointage!$F$4:$F$303))</f>
        <v/>
      </c>
      <c r="F49" s="56" t="str">
        <f aca="false">IF($A49="","",$C49-$E49)</f>
        <v/>
      </c>
      <c r="G49" s="71" t="str">
        <f aca="false">IF(OR($A49="",N($C49)=0),"",$E49/$C49)</f>
        <v/>
      </c>
      <c r="H49" s="63" t="str">
        <f aca="false">IF($A49="","",MAX(0,$D49-$E49))</f>
        <v/>
      </c>
      <c r="I49" s="63" t="str">
        <f aca="false">IF($A49="","",$E49+$H49)</f>
        <v/>
      </c>
      <c r="J49" s="56" t="str">
        <f aca="false">IF($A49="","",IF($E49&gt;$C49,"Budget dépassé",IF($I49&gt;$C49,"Dépassement projeté",IF(AND($A49&lt;&gt;"",$B49&lt;&gt;"Confirmé",$E49&gt;0),"Pointé sur source non confirmée",""))))</f>
        <v/>
      </c>
    </row>
    <row r="50" customFormat="false" ht="15" hidden="false" customHeight="false" outlineLevel="0" collapsed="false">
      <c r="A50" s="131" t="str">
        <f aca="false">IF(Financement!$A11="","",Financement!$A11)</f>
        <v/>
      </c>
      <c r="B50" s="123" t="str">
        <f aca="false">IF($A50="","",Financement!$B11)</f>
        <v/>
      </c>
      <c r="C50" s="132" t="str">
        <f aca="false">IF($A50="","",Financement!$D11)</f>
        <v/>
      </c>
      <c r="D50" s="132" t="str">
        <f aca="false">IF($A50="","",Financement!$E11)</f>
        <v/>
      </c>
      <c r="E50" s="79" t="str">
        <f aca="false">IF($A50="","",SUMIF(Pointage!$E$4:$E$303,$A50,Pointage!$F$4:$F$303))</f>
        <v/>
      </c>
      <c r="F50" s="81" t="str">
        <f aca="false">IF($A50="","",$C50-$E50)</f>
        <v/>
      </c>
      <c r="G50" s="80" t="str">
        <f aca="false">IF(OR($A50="",N($C50)=0),"",$E50/$C50)</f>
        <v/>
      </c>
      <c r="H50" s="79" t="str">
        <f aca="false">IF($A50="","",MAX(0,$D50-$E50))</f>
        <v/>
      </c>
      <c r="I50" s="79" t="str">
        <f aca="false">IF($A50="","",$E50+$H50)</f>
        <v/>
      </c>
      <c r="J50" s="81" t="str">
        <f aca="false">IF($A50="","",IF($E50&gt;$C50,"Budget dépassé",IF($I50&gt;$C50,"Dépassement projeté",IF(AND($A50&lt;&gt;"",$B50&lt;&gt;"Confirmé",$E50&gt;0),"Pointé sur source non confirmée",""))))</f>
        <v/>
      </c>
    </row>
    <row r="51" customFormat="false" ht="15" hidden="false" customHeight="false" outlineLevel="0" collapsed="false">
      <c r="A51" s="131" t="str">
        <f aca="false">IF(Financement!$A12="","",Financement!$A12)</f>
        <v/>
      </c>
      <c r="B51" s="123" t="str">
        <f aca="false">IF($A51="","",Financement!$B12)</f>
        <v/>
      </c>
      <c r="C51" s="132" t="str">
        <f aca="false">IF($A51="","",Financement!$D12)</f>
        <v/>
      </c>
      <c r="D51" s="132" t="str">
        <f aca="false">IF($A51="","",Financement!$E12)</f>
        <v/>
      </c>
      <c r="E51" s="63" t="str">
        <f aca="false">IF($A51="","",SUMIF(Pointage!$E$4:$E$303,$A51,Pointage!$F$4:$F$303))</f>
        <v/>
      </c>
      <c r="F51" s="56" t="str">
        <f aca="false">IF($A51="","",$C51-$E51)</f>
        <v/>
      </c>
      <c r="G51" s="71" t="str">
        <f aca="false">IF(OR($A51="",N($C51)=0),"",$E51/$C51)</f>
        <v/>
      </c>
      <c r="H51" s="63" t="str">
        <f aca="false">IF($A51="","",MAX(0,$D51-$E51))</f>
        <v/>
      </c>
      <c r="I51" s="63" t="str">
        <f aca="false">IF($A51="","",$E51+$H51)</f>
        <v/>
      </c>
      <c r="J51" s="56" t="str">
        <f aca="false">IF($A51="","",IF($E51&gt;$C51,"Budget dépassé",IF($I51&gt;$C51,"Dépassement projeté",IF(AND($A51&lt;&gt;"",$B51&lt;&gt;"Confirmé",$E51&gt;0),"Pointé sur source non confirmée",""))))</f>
        <v/>
      </c>
    </row>
    <row r="52" customFormat="false" ht="15" hidden="false" customHeight="false" outlineLevel="0" collapsed="false">
      <c r="A52" s="131" t="str">
        <f aca="false">IF(Financement!$A13="","",Financement!$A13)</f>
        <v/>
      </c>
      <c r="B52" s="123" t="str">
        <f aca="false">IF($A52="","",Financement!$B13)</f>
        <v/>
      </c>
      <c r="C52" s="132" t="str">
        <f aca="false">IF($A52="","",Financement!$D13)</f>
        <v/>
      </c>
      <c r="D52" s="132" t="str">
        <f aca="false">IF($A52="","",Financement!$E13)</f>
        <v/>
      </c>
      <c r="E52" s="79" t="str">
        <f aca="false">IF($A52="","",SUMIF(Pointage!$E$4:$E$303,$A52,Pointage!$F$4:$F$303))</f>
        <v/>
      </c>
      <c r="F52" s="81" t="str">
        <f aca="false">IF($A52="","",$C52-$E52)</f>
        <v/>
      </c>
      <c r="G52" s="80" t="str">
        <f aca="false">IF(OR($A52="",N($C52)=0),"",$E52/$C52)</f>
        <v/>
      </c>
      <c r="H52" s="79" t="str">
        <f aca="false">IF($A52="","",MAX(0,$D52-$E52))</f>
        <v/>
      </c>
      <c r="I52" s="79" t="str">
        <f aca="false">IF($A52="","",$E52+$H52)</f>
        <v/>
      </c>
      <c r="J52" s="81" t="str">
        <f aca="false">IF($A52="","",IF($E52&gt;$C52,"Budget dépassé",IF($I52&gt;$C52,"Dépassement projeté",IF(AND($A52&lt;&gt;"",$B52&lt;&gt;"Confirmé",$E52&gt;0),"Pointé sur source non confirmée",""))))</f>
        <v/>
      </c>
    </row>
    <row r="53" customFormat="false" ht="15" hidden="false" customHeight="false" outlineLevel="0" collapsed="false">
      <c r="A53" s="131" t="str">
        <f aca="false">IF(Financement!$A14="","",Financement!$A14)</f>
        <v/>
      </c>
      <c r="B53" s="123" t="str">
        <f aca="false">IF($A53="","",Financement!$B14)</f>
        <v/>
      </c>
      <c r="C53" s="132" t="str">
        <f aca="false">IF($A53="","",Financement!$D14)</f>
        <v/>
      </c>
      <c r="D53" s="132" t="str">
        <f aca="false">IF($A53="","",Financement!$E14)</f>
        <v/>
      </c>
      <c r="E53" s="63" t="str">
        <f aca="false">IF($A53="","",SUMIF(Pointage!$E$4:$E$303,$A53,Pointage!$F$4:$F$303))</f>
        <v/>
      </c>
      <c r="F53" s="56" t="str">
        <f aca="false">IF($A53="","",$C53-$E53)</f>
        <v/>
      </c>
      <c r="G53" s="71" t="str">
        <f aca="false">IF(OR($A53="",N($C53)=0),"",$E53/$C53)</f>
        <v/>
      </c>
      <c r="H53" s="63" t="str">
        <f aca="false">IF($A53="","",MAX(0,$D53-$E53))</f>
        <v/>
      </c>
      <c r="I53" s="63" t="str">
        <f aca="false">IF($A53="","",$E53+$H53)</f>
        <v/>
      </c>
      <c r="J53" s="56" t="str">
        <f aca="false">IF($A53="","",IF($E53&gt;$C53,"Budget dépassé",IF($I53&gt;$C53,"Dépassement projeté",IF(AND($A53&lt;&gt;"",$B53&lt;&gt;"Confirmé",$E53&gt;0),"Pointé sur source non confirmée",""))))</f>
        <v/>
      </c>
    </row>
    <row r="54" customFormat="false" ht="15" hidden="false" customHeight="false" outlineLevel="0" collapsed="false">
      <c r="A54" s="131" t="str">
        <f aca="false">IF(Financement!$A15="","",Financement!$A15)</f>
        <v/>
      </c>
      <c r="B54" s="123" t="str">
        <f aca="false">IF($A54="","",Financement!$B15)</f>
        <v/>
      </c>
      <c r="C54" s="132" t="str">
        <f aca="false">IF($A54="","",Financement!$D15)</f>
        <v/>
      </c>
      <c r="D54" s="132" t="str">
        <f aca="false">IF($A54="","",Financement!$E15)</f>
        <v/>
      </c>
      <c r="E54" s="79" t="str">
        <f aca="false">IF($A54="","",SUMIF(Pointage!$E$4:$E$303,$A54,Pointage!$F$4:$F$303))</f>
        <v/>
      </c>
      <c r="F54" s="81" t="str">
        <f aca="false">IF($A54="","",$C54-$E54)</f>
        <v/>
      </c>
      <c r="G54" s="80" t="str">
        <f aca="false">IF(OR($A54="",N($C54)=0),"",$E54/$C54)</f>
        <v/>
      </c>
      <c r="H54" s="79" t="str">
        <f aca="false">IF($A54="","",MAX(0,$D54-$E54))</f>
        <v/>
      </c>
      <c r="I54" s="79" t="str">
        <f aca="false">IF($A54="","",$E54+$H54)</f>
        <v/>
      </c>
      <c r="J54" s="81" t="str">
        <f aca="false">IF($A54="","",IF($E54&gt;$C54,"Budget dépassé",IF($I54&gt;$C54,"Dépassement projeté",IF(AND($A54&lt;&gt;"",$B54&lt;&gt;"Confirmé",$E54&gt;0),"Pointé sur source non confirmée",""))))</f>
        <v/>
      </c>
    </row>
    <row r="55" customFormat="false" ht="15" hidden="false" customHeight="false" outlineLevel="0" collapsed="false">
      <c r="A55" s="131" t="str">
        <f aca="false">IF(Financement!$A16="","",Financement!$A16)</f>
        <v/>
      </c>
      <c r="B55" s="123" t="str">
        <f aca="false">IF($A55="","",Financement!$B16)</f>
        <v/>
      </c>
      <c r="C55" s="132" t="str">
        <f aca="false">IF($A55="","",Financement!$D16)</f>
        <v/>
      </c>
      <c r="D55" s="132" t="str">
        <f aca="false">IF($A55="","",Financement!$E16)</f>
        <v/>
      </c>
      <c r="E55" s="63" t="str">
        <f aca="false">IF($A55="","",SUMIF(Pointage!$E$4:$E$303,$A55,Pointage!$F$4:$F$303))</f>
        <v/>
      </c>
      <c r="F55" s="56" t="str">
        <f aca="false">IF($A55="","",$C55-$E55)</f>
        <v/>
      </c>
      <c r="G55" s="71" t="str">
        <f aca="false">IF(OR($A55="",N($C55)=0),"",$E55/$C55)</f>
        <v/>
      </c>
      <c r="H55" s="63" t="str">
        <f aca="false">IF($A55="","",MAX(0,$D55-$E55))</f>
        <v/>
      </c>
      <c r="I55" s="63" t="str">
        <f aca="false">IF($A55="","",$E55+$H55)</f>
        <v/>
      </c>
      <c r="J55" s="56" t="str">
        <f aca="false">IF($A55="","",IF($E55&gt;$C55,"Budget dépassé",IF($I55&gt;$C55,"Dépassement projeté",IF(AND($A55&lt;&gt;"",$B55&lt;&gt;"Confirmé",$E55&gt;0),"Pointé sur source non confirmée",""))))</f>
        <v/>
      </c>
    </row>
    <row r="56" customFormat="false" ht="15" hidden="false" customHeight="false" outlineLevel="0" collapsed="false">
      <c r="A56" s="131" t="str">
        <f aca="false">IF(Financement!$A17="","",Financement!$A17)</f>
        <v/>
      </c>
      <c r="B56" s="123" t="str">
        <f aca="false">IF($A56="","",Financement!$B17)</f>
        <v/>
      </c>
      <c r="C56" s="132" t="str">
        <f aca="false">IF($A56="","",Financement!$D17)</f>
        <v/>
      </c>
      <c r="D56" s="132" t="str">
        <f aca="false">IF($A56="","",Financement!$E17)</f>
        <v/>
      </c>
      <c r="E56" s="79" t="str">
        <f aca="false">IF($A56="","",SUMIF(Pointage!$E$4:$E$303,$A56,Pointage!$F$4:$F$303))</f>
        <v/>
      </c>
      <c r="F56" s="81" t="str">
        <f aca="false">IF($A56="","",$C56-$E56)</f>
        <v/>
      </c>
      <c r="G56" s="80" t="str">
        <f aca="false">IF(OR($A56="",N($C56)=0),"",$E56/$C56)</f>
        <v/>
      </c>
      <c r="H56" s="79" t="str">
        <f aca="false">IF($A56="","",MAX(0,$D56-$E56))</f>
        <v/>
      </c>
      <c r="I56" s="79" t="str">
        <f aca="false">IF($A56="","",$E56+$H56)</f>
        <v/>
      </c>
      <c r="J56" s="81" t="str">
        <f aca="false">IF($A56="","",IF($E56&gt;$C56,"Budget dépassé",IF($I56&gt;$C56,"Dépassement projeté",IF(AND($A56&lt;&gt;"",$B56&lt;&gt;"Confirmé",$E56&gt;0),"Pointé sur source non confirmée",""))))</f>
        <v/>
      </c>
    </row>
    <row r="57" customFormat="false" ht="15" hidden="false" customHeight="false" outlineLevel="0" collapsed="false">
      <c r="A57" s="131" t="str">
        <f aca="false">IF(Financement!$A18="","",Financement!$A18)</f>
        <v/>
      </c>
      <c r="B57" s="123" t="str">
        <f aca="false">IF($A57="","",Financement!$B18)</f>
        <v/>
      </c>
      <c r="C57" s="132" t="str">
        <f aca="false">IF($A57="","",Financement!$D18)</f>
        <v/>
      </c>
      <c r="D57" s="132" t="str">
        <f aca="false">IF($A57="","",Financement!$E18)</f>
        <v/>
      </c>
      <c r="E57" s="63" t="str">
        <f aca="false">IF($A57="","",SUMIF(Pointage!$E$4:$E$303,$A57,Pointage!$F$4:$F$303))</f>
        <v/>
      </c>
      <c r="F57" s="56" t="str">
        <f aca="false">IF($A57="","",$C57-$E57)</f>
        <v/>
      </c>
      <c r="G57" s="71" t="str">
        <f aca="false">IF(OR($A57="",N($C57)=0),"",$E57/$C57)</f>
        <v/>
      </c>
      <c r="H57" s="63" t="str">
        <f aca="false">IF($A57="","",MAX(0,$D57-$E57))</f>
        <v/>
      </c>
      <c r="I57" s="63" t="str">
        <f aca="false">IF($A57="","",$E57+$H57)</f>
        <v/>
      </c>
      <c r="J57" s="56" t="str">
        <f aca="false">IF($A57="","",IF($E57&gt;$C57,"Budget dépassé",IF($I57&gt;$C57,"Dépassement projeté",IF(AND($A57&lt;&gt;"",$B57&lt;&gt;"Confirmé",$E57&gt;0),"Pointé sur source non confirmée",""))))</f>
        <v/>
      </c>
    </row>
    <row r="58" customFormat="false" ht="15" hidden="false" customHeight="false" outlineLevel="0" collapsed="false">
      <c r="A58" s="83" t="s">
        <v>32</v>
      </c>
      <c r="B58" s="83"/>
      <c r="C58" s="83" t="n">
        <f aca="false">SUM(C43:C57)</f>
        <v>2200</v>
      </c>
      <c r="D58" s="83" t="n">
        <f aca="false">SUM(D43:D57)</f>
        <v>1620</v>
      </c>
      <c r="E58" s="83" t="n">
        <f aca="false">SUM(E43:E57)</f>
        <v>143</v>
      </c>
      <c r="F58" s="83" t="n">
        <f aca="false">SUM(F43:F57)</f>
        <v>2057</v>
      </c>
      <c r="G58" s="133" t="n">
        <f aca="false">IFERROR(E58/C58,0)</f>
        <v>0.065</v>
      </c>
      <c r="H58" s="83" t="n">
        <f aca="false">SUM(H43:H57)</f>
        <v>1477</v>
      </c>
      <c r="I58" s="83" t="n">
        <f aca="false">SUM(I43:I57)</f>
        <v>1620</v>
      </c>
      <c r="J58" s="83"/>
    </row>
    <row r="61" customFormat="false" ht="15" hidden="false" customHeight="false" outlineLevel="0" collapsed="false">
      <c r="A61" s="118" t="s">
        <v>128</v>
      </c>
      <c r="B61" s="118"/>
      <c r="C61" s="134" t="s">
        <v>129</v>
      </c>
      <c r="D61" s="134"/>
      <c r="E61" s="134"/>
      <c r="F61" s="134"/>
    </row>
    <row r="62" customFormat="false" ht="24" hidden="false" customHeight="true" outlineLevel="0" collapsed="false">
      <c r="A62" s="120" t="s">
        <v>90</v>
      </c>
      <c r="B62" s="120" t="s">
        <v>130</v>
      </c>
      <c r="C62" s="59" t="s">
        <v>131</v>
      </c>
      <c r="D62" s="59" t="s">
        <v>132</v>
      </c>
      <c r="E62" s="59" t="s">
        <v>102</v>
      </c>
      <c r="F62" s="59" t="s">
        <v>133</v>
      </c>
    </row>
    <row r="63" customFormat="false" ht="15" hidden="false" customHeight="false" outlineLevel="0" collapsed="false">
      <c r="A63" s="135" t="n">
        <v>46266</v>
      </c>
      <c r="B63" s="132" t="n">
        <f aca="false">SUM(Gantt!$J$34:J$34)</f>
        <v>80</v>
      </c>
      <c r="C63" s="63" t="n">
        <f aca="false">SUMIF(Pointage!$G$4:$G$303,$A63,Pointage!$F$4:$F$303)</f>
        <v>83</v>
      </c>
      <c r="D63" s="63" t="n">
        <f aca="false">SUM($C$63:$C63)</f>
        <v>83</v>
      </c>
      <c r="E63" s="63" t="n">
        <f aca="false">$D63-$B63</f>
        <v>3</v>
      </c>
      <c r="F63" s="71" t="n">
        <f aca="false">IFERROR($D63/Gantt!$G$34,0)</f>
        <v>0.0512345679012346</v>
      </c>
    </row>
    <row r="64" customFormat="false" ht="15" hidden="false" customHeight="false" outlineLevel="0" collapsed="false">
      <c r="A64" s="135" t="n">
        <v>46296</v>
      </c>
      <c r="B64" s="132" t="n">
        <f aca="false">SUM(Gantt!$J$34:K$34)</f>
        <v>400</v>
      </c>
      <c r="C64" s="99" t="n">
        <f aca="false">SUMIF(Pointage!$G$4:$G$303,$A64,Pointage!$F$4:$F$303)</f>
        <v>60</v>
      </c>
      <c r="D64" s="99" t="n">
        <f aca="false">SUM($C$63:$C64)</f>
        <v>143</v>
      </c>
      <c r="E64" s="64" t="n">
        <f aca="false">$D64-$B64</f>
        <v>-257</v>
      </c>
      <c r="F64" s="136" t="n">
        <f aca="false">IFERROR($D64/Gantt!$G$34,0)</f>
        <v>0.0882716049382716</v>
      </c>
    </row>
    <row r="65" customFormat="false" ht="15" hidden="false" customHeight="false" outlineLevel="0" collapsed="false">
      <c r="A65" s="135" t="n">
        <v>46327</v>
      </c>
      <c r="B65" s="132" t="n">
        <f aca="false">SUM(Gantt!$J$34:L$34)</f>
        <v>720</v>
      </c>
      <c r="C65" s="63" t="n">
        <f aca="false">SUMIF(Pointage!$G$4:$G$303,$A65,Pointage!$F$4:$F$303)</f>
        <v>0</v>
      </c>
      <c r="D65" s="63" t="n">
        <f aca="false">SUM($C$63:$C65)</f>
        <v>143</v>
      </c>
      <c r="E65" s="63" t="n">
        <f aca="false">$D65-$B65</f>
        <v>-577</v>
      </c>
      <c r="F65" s="71" t="n">
        <f aca="false">IFERROR($D65/Gantt!$G$34,0)</f>
        <v>0.0882716049382716</v>
      </c>
    </row>
    <row r="66" customFormat="false" ht="15" hidden="false" customHeight="false" outlineLevel="0" collapsed="false">
      <c r="A66" s="135" t="n">
        <v>46357</v>
      </c>
      <c r="B66" s="132" t="n">
        <f aca="false">SUM(Gantt!$J$34:M$34)</f>
        <v>1040</v>
      </c>
      <c r="C66" s="99" t="n">
        <f aca="false">SUMIF(Pointage!$G$4:$G$303,$A66,Pointage!$F$4:$F$303)</f>
        <v>0</v>
      </c>
      <c r="D66" s="99" t="n">
        <f aca="false">SUM($C$63:$C66)</f>
        <v>143</v>
      </c>
      <c r="E66" s="64" t="n">
        <f aca="false">$D66-$B66</f>
        <v>-897</v>
      </c>
      <c r="F66" s="136" t="n">
        <f aca="false">IFERROR($D66/Gantt!$G$34,0)</f>
        <v>0.0882716049382716</v>
      </c>
    </row>
    <row r="67" customFormat="false" ht="15" hidden="false" customHeight="false" outlineLevel="0" collapsed="false">
      <c r="A67" s="135" t="n">
        <v>46388</v>
      </c>
      <c r="B67" s="132" t="n">
        <f aca="false">SUM(Gantt!$J$34:N$34)</f>
        <v>1360</v>
      </c>
      <c r="C67" s="63" t="n">
        <f aca="false">SUMIF(Pointage!$G$4:$G$303,$A67,Pointage!$F$4:$F$303)</f>
        <v>0</v>
      </c>
      <c r="D67" s="63" t="n">
        <f aca="false">SUM($C$63:$C67)</f>
        <v>143</v>
      </c>
      <c r="E67" s="63" t="n">
        <f aca="false">$D67-$B67</f>
        <v>-1217</v>
      </c>
      <c r="F67" s="71" t="n">
        <f aca="false">IFERROR($D67/Gantt!$G$34,0)</f>
        <v>0.0882716049382716</v>
      </c>
    </row>
    <row r="68" customFormat="false" ht="15" hidden="false" customHeight="false" outlineLevel="0" collapsed="false">
      <c r="A68" s="135" t="n">
        <v>46419</v>
      </c>
      <c r="B68" s="132" t="n">
        <f aca="false">SUM(Gantt!$J$34:O$34)</f>
        <v>1620</v>
      </c>
      <c r="C68" s="99" t="n">
        <f aca="false">SUMIF(Pointage!$G$4:$G$303,$A68,Pointage!$F$4:$F$303)</f>
        <v>0</v>
      </c>
      <c r="D68" s="99" t="n">
        <f aca="false">SUM($C$63:$C68)</f>
        <v>143</v>
      </c>
      <c r="E68" s="64" t="n">
        <f aca="false">$D68-$B68</f>
        <v>-1477</v>
      </c>
      <c r="F68" s="136" t="n">
        <f aca="false">IFERROR($D68/Gantt!$G$34,0)</f>
        <v>0.0882716049382716</v>
      </c>
    </row>
    <row r="69" customFormat="false" ht="15" hidden="false" customHeight="false" outlineLevel="0" collapsed="false">
      <c r="A69" s="135" t="n">
        <v>46447</v>
      </c>
      <c r="B69" s="132" t="n">
        <f aca="false">SUM(Gantt!$J$34:P$34)</f>
        <v>1620</v>
      </c>
      <c r="C69" s="63" t="n">
        <f aca="false">SUMIF(Pointage!$G$4:$G$303,$A69,Pointage!$F$4:$F$303)</f>
        <v>0</v>
      </c>
      <c r="D69" s="63" t="n">
        <f aca="false">SUM($C$63:$C69)</f>
        <v>143</v>
      </c>
      <c r="E69" s="63" t="n">
        <f aca="false">$D69-$B69</f>
        <v>-1477</v>
      </c>
      <c r="F69" s="71" t="n">
        <f aca="false">IFERROR($D69/Gantt!$G$34,0)</f>
        <v>0.0882716049382716</v>
      </c>
    </row>
    <row r="70" customFormat="false" ht="15" hidden="false" customHeight="false" outlineLevel="0" collapsed="false">
      <c r="A70" s="135" t="n">
        <v>46478</v>
      </c>
      <c r="B70" s="132" t="n">
        <f aca="false">SUM(Gantt!$J$34:Q$34)</f>
        <v>1620</v>
      </c>
      <c r="C70" s="99" t="n">
        <f aca="false">SUMIF(Pointage!$G$4:$G$303,$A70,Pointage!$F$4:$F$303)</f>
        <v>0</v>
      </c>
      <c r="D70" s="99" t="n">
        <f aca="false">SUM($C$63:$C70)</f>
        <v>143</v>
      </c>
      <c r="E70" s="64" t="n">
        <f aca="false">$D70-$B70</f>
        <v>-1477</v>
      </c>
      <c r="F70" s="136" t="n">
        <f aca="false">IFERROR($D70/Gantt!$G$34,0)</f>
        <v>0.0882716049382716</v>
      </c>
    </row>
    <row r="71" customFormat="false" ht="15" hidden="false" customHeight="false" outlineLevel="0" collapsed="false">
      <c r="A71" s="135" t="n">
        <v>46508</v>
      </c>
      <c r="B71" s="132" t="n">
        <f aca="false">SUM(Gantt!$J$34:R$34)</f>
        <v>1620</v>
      </c>
      <c r="C71" s="63" t="n">
        <f aca="false">SUMIF(Pointage!$G$4:$G$303,$A71,Pointage!$F$4:$F$303)</f>
        <v>0</v>
      </c>
      <c r="D71" s="63" t="n">
        <f aca="false">SUM($C$63:$C71)</f>
        <v>143</v>
      </c>
      <c r="E71" s="63" t="n">
        <f aca="false">$D71-$B71</f>
        <v>-1477</v>
      </c>
      <c r="F71" s="71" t="n">
        <f aca="false">IFERROR($D71/Gantt!$G$34,0)</f>
        <v>0.0882716049382716</v>
      </c>
    </row>
    <row r="72" customFormat="false" ht="15" hidden="false" customHeight="false" outlineLevel="0" collapsed="false">
      <c r="A72" s="135" t="n">
        <v>46539</v>
      </c>
      <c r="B72" s="132" t="n">
        <f aca="false">SUM(Gantt!$J$34:S$34)</f>
        <v>1620</v>
      </c>
      <c r="C72" s="99" t="n">
        <f aca="false">SUMIF(Pointage!$G$4:$G$303,$A72,Pointage!$F$4:$F$303)</f>
        <v>0</v>
      </c>
      <c r="D72" s="99" t="n">
        <f aca="false">SUM($C$63:$C72)</f>
        <v>143</v>
      </c>
      <c r="E72" s="64" t="n">
        <f aca="false">$D72-$B72</f>
        <v>-1477</v>
      </c>
      <c r="F72" s="136" t="n">
        <f aca="false">IFERROR($D72/Gantt!$G$34,0)</f>
        <v>0.0882716049382716</v>
      </c>
    </row>
    <row r="73" customFormat="false" ht="15" hidden="false" customHeight="false" outlineLevel="0" collapsed="false">
      <c r="A73" s="135" t="n">
        <v>46569</v>
      </c>
      <c r="B73" s="132" t="n">
        <f aca="false">SUM(Gantt!$J$34:T$34)</f>
        <v>1620</v>
      </c>
      <c r="C73" s="63" t="n">
        <f aca="false">SUMIF(Pointage!$G$4:$G$303,$A73,Pointage!$F$4:$F$303)</f>
        <v>0</v>
      </c>
      <c r="D73" s="63" t="n">
        <f aca="false">SUM($C$63:$C73)</f>
        <v>143</v>
      </c>
      <c r="E73" s="63" t="n">
        <f aca="false">$D73-$B73</f>
        <v>-1477</v>
      </c>
      <c r="F73" s="71" t="n">
        <f aca="false">IFERROR($D73/Gantt!$G$34,0)</f>
        <v>0.0882716049382716</v>
      </c>
    </row>
    <row r="74" customFormat="false" ht="15" hidden="false" customHeight="false" outlineLevel="0" collapsed="false">
      <c r="A74" s="135" t="n">
        <v>46600</v>
      </c>
      <c r="B74" s="132" t="n">
        <f aca="false">SUM(Gantt!$J$34:U$34)</f>
        <v>1620</v>
      </c>
      <c r="C74" s="99" t="n">
        <f aca="false">SUMIF(Pointage!$G$4:$G$303,$A74,Pointage!$F$4:$F$303)</f>
        <v>0</v>
      </c>
      <c r="D74" s="99" t="n">
        <f aca="false">SUM($C$63:$C74)</f>
        <v>143</v>
      </c>
      <c r="E74" s="64" t="n">
        <f aca="false">$D74-$B74</f>
        <v>-1477</v>
      </c>
      <c r="F74" s="136" t="n">
        <f aca="false">IFERROR($D74/Gantt!$G$34,0)</f>
        <v>0.0882716049382716</v>
      </c>
    </row>
    <row r="75" customFormat="false" ht="15" hidden="false" customHeight="false" outlineLevel="0" collapsed="false">
      <c r="A75" s="135" t="n">
        <v>46631</v>
      </c>
      <c r="B75" s="132" t="n">
        <f aca="false">SUM(Gantt!$J$34:V$34)</f>
        <v>1620</v>
      </c>
      <c r="C75" s="63" t="n">
        <f aca="false">SUMIF(Pointage!$G$4:$G$303,$A75,Pointage!$F$4:$F$303)</f>
        <v>0</v>
      </c>
      <c r="D75" s="63" t="n">
        <f aca="false">SUM($C$63:$C75)</f>
        <v>143</v>
      </c>
      <c r="E75" s="63" t="n">
        <f aca="false">$D75-$B75</f>
        <v>-1477</v>
      </c>
      <c r="F75" s="71" t="n">
        <f aca="false">IFERROR($D75/Gantt!$G$34,0)</f>
        <v>0.0882716049382716</v>
      </c>
    </row>
    <row r="76" customFormat="false" ht="15" hidden="false" customHeight="false" outlineLevel="0" collapsed="false">
      <c r="A76" s="135" t="n">
        <v>46661</v>
      </c>
      <c r="B76" s="132" t="n">
        <f aca="false">SUM(Gantt!$J$34:W$34)</f>
        <v>1620</v>
      </c>
      <c r="C76" s="99" t="n">
        <f aca="false">SUMIF(Pointage!$G$4:$G$303,$A76,Pointage!$F$4:$F$303)</f>
        <v>0</v>
      </c>
      <c r="D76" s="99" t="n">
        <f aca="false">SUM($C$63:$C76)</f>
        <v>143</v>
      </c>
      <c r="E76" s="64" t="n">
        <f aca="false">$D76-$B76</f>
        <v>-1477</v>
      </c>
      <c r="F76" s="136" t="n">
        <f aca="false">IFERROR($D76/Gantt!$G$34,0)</f>
        <v>0.0882716049382716</v>
      </c>
    </row>
    <row r="77" customFormat="false" ht="15" hidden="false" customHeight="false" outlineLevel="0" collapsed="false">
      <c r="A77" s="135" t="n">
        <v>46692</v>
      </c>
      <c r="B77" s="132" t="n">
        <f aca="false">SUM(Gantt!$J$34:X$34)</f>
        <v>1620</v>
      </c>
      <c r="C77" s="63" t="n">
        <f aca="false">SUMIF(Pointage!$G$4:$G$303,$A77,Pointage!$F$4:$F$303)</f>
        <v>0</v>
      </c>
      <c r="D77" s="63" t="n">
        <f aca="false">SUM($C$63:$C77)</f>
        <v>143</v>
      </c>
      <c r="E77" s="63" t="n">
        <f aca="false">$D77-$B77</f>
        <v>-1477</v>
      </c>
      <c r="F77" s="71" t="n">
        <f aca="false">IFERROR($D77/Gantt!$G$34,0)</f>
        <v>0.0882716049382716</v>
      </c>
    </row>
    <row r="78" customFormat="false" ht="15" hidden="false" customHeight="false" outlineLevel="0" collapsed="false">
      <c r="A78" s="135" t="n">
        <v>46722</v>
      </c>
      <c r="B78" s="132" t="n">
        <f aca="false">SUM(Gantt!$J$34:Y$34)</f>
        <v>1620</v>
      </c>
      <c r="C78" s="99" t="n">
        <f aca="false">SUMIF(Pointage!$G$4:$G$303,$A78,Pointage!$F$4:$F$303)</f>
        <v>0</v>
      </c>
      <c r="D78" s="99" t="n">
        <f aca="false">SUM($C$63:$C78)</f>
        <v>143</v>
      </c>
      <c r="E78" s="64" t="n">
        <f aca="false">$D78-$B78</f>
        <v>-1477</v>
      </c>
      <c r="F78" s="136" t="n">
        <f aca="false">IFERROR($D78/Gantt!$G$34,0)</f>
        <v>0.0882716049382716</v>
      </c>
    </row>
    <row r="79" customFormat="false" ht="15" hidden="false" customHeight="false" outlineLevel="0" collapsed="false">
      <c r="A79" s="135" t="n">
        <v>46753</v>
      </c>
      <c r="B79" s="132" t="n">
        <f aca="false">SUM(Gantt!$J$34:Z$34)</f>
        <v>1620</v>
      </c>
      <c r="C79" s="63" t="n">
        <f aca="false">SUMIF(Pointage!$G$4:$G$303,$A79,Pointage!$F$4:$F$303)</f>
        <v>0</v>
      </c>
      <c r="D79" s="63" t="n">
        <f aca="false">SUM($C$63:$C79)</f>
        <v>143</v>
      </c>
      <c r="E79" s="63" t="n">
        <f aca="false">$D79-$B79</f>
        <v>-1477</v>
      </c>
      <c r="F79" s="71" t="n">
        <f aca="false">IFERROR($D79/Gantt!$G$34,0)</f>
        <v>0.0882716049382716</v>
      </c>
    </row>
    <row r="80" customFormat="false" ht="15" hidden="false" customHeight="false" outlineLevel="0" collapsed="false">
      <c r="A80" s="135" t="n">
        <v>46784</v>
      </c>
      <c r="B80" s="132" t="n">
        <f aca="false">SUM(Gantt!$J$34:AA$34)</f>
        <v>1620</v>
      </c>
      <c r="C80" s="99" t="n">
        <f aca="false">SUMIF(Pointage!$G$4:$G$303,$A80,Pointage!$F$4:$F$303)</f>
        <v>0</v>
      </c>
      <c r="D80" s="99" t="n">
        <f aca="false">SUM($C$63:$C80)</f>
        <v>143</v>
      </c>
      <c r="E80" s="64" t="n">
        <f aca="false">$D80-$B80</f>
        <v>-1477</v>
      </c>
      <c r="F80" s="136" t="n">
        <f aca="false">IFERROR($D80/Gantt!$G$34,0)</f>
        <v>0.0882716049382716</v>
      </c>
    </row>
    <row r="82" customFormat="false" ht="15" hidden="false" customHeight="false" outlineLevel="0" collapsed="false">
      <c r="A82" s="2" t="s">
        <v>134</v>
      </c>
    </row>
  </sheetData>
  <mergeCells count="7">
    <mergeCell ref="A1:R1"/>
    <mergeCell ref="A6:F6"/>
    <mergeCell ref="G6:N6"/>
    <mergeCell ref="A41:D41"/>
    <mergeCell ref="E41:J41"/>
    <mergeCell ref="A61:B61"/>
    <mergeCell ref="C61:F61"/>
  </mergeCells>
  <conditionalFormatting sqref="G4">
    <cfRule type="expression" priority="2" aboveAverage="0" equalAverage="0" bottom="0" percent="0" rank="0" text="" dxfId="78">
      <formula>$G$4&lt;$C$4</formula>
    </cfRule>
  </conditionalFormatting>
  <conditionalFormatting sqref="J8">
    <cfRule type="expression" priority="3" aboveAverage="0" equalAverage="0" bottom="0" percent="0" rank="0" text="" dxfId="0">
      <formula>$J8="Non commencé"</formula>
    </cfRule>
    <cfRule type="expression" priority="4" aboveAverage="0" equalAverage="0" bottom="0" percent="0" rank="0" text="" dxfId="1">
      <formula>$J8="En cours"</formula>
    </cfRule>
    <cfRule type="expression" priority="5" aboveAverage="0" equalAverage="0" bottom="0" percent="0" rank="0" text="" dxfId="2">
      <formula>$J8="Réalisé"</formula>
    </cfRule>
  </conditionalFormatting>
  <conditionalFormatting sqref="K8">
    <cfRule type="expression" priority="6" aboveAverage="0" equalAverage="0" bottom="0" percent="0" rank="0" text="" dxfId="0">
      <formula>$K8="Non commencé"</formula>
    </cfRule>
    <cfRule type="expression" priority="7" aboveAverage="0" equalAverage="0" bottom="0" percent="0" rank="0" text="" dxfId="1">
      <formula>$K8="En cours"</formula>
    </cfRule>
    <cfRule type="expression" priority="8" aboveAverage="0" equalAverage="0" bottom="0" percent="0" rank="0" text="" dxfId="2">
      <formula>$K8="Terminé (charge atteinte)"</formula>
    </cfRule>
  </conditionalFormatting>
  <conditionalFormatting sqref="I8">
    <cfRule type="dataBar" priority="9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{7FEDA056-344E-40BC-85DC-2E4B90296D38}</x14:id>
        </ext>
      </extLst>
    </cfRule>
  </conditionalFormatting>
  <conditionalFormatting sqref="H8">
    <cfRule type="expression" priority="10" aboveAverage="0" equalAverage="0" bottom="0" percent="0" rank="0" text="" dxfId="3">
      <formula>AND(ISNUMBER($H8),$H8&lt;0)</formula>
    </cfRule>
  </conditionalFormatting>
  <conditionalFormatting sqref="M8">
    <cfRule type="expression" priority="11" aboveAverage="0" equalAverage="0" bottom="0" percent="0" rank="0" text="" dxfId="79">
      <formula>$M8="Dépassement de charge"</formula>
    </cfRule>
    <cfRule type="expression" priority="12" aboveAverage="0" equalAverage="0" bottom="0" percent="0" rank="0" text="" dxfId="74">
      <formula>AND($M8&lt;&gt;"",$M8&lt;&gt;"Dépassement de charge")</formula>
    </cfRule>
  </conditionalFormatting>
  <conditionalFormatting sqref="A8:N8">
    <cfRule type="expression" priority="13" aboveAverage="0" equalAverage="0" bottom="0" percent="0" rank="0" text="" dxfId="80">
      <formula>$J8="Réalisé"</formula>
    </cfRule>
  </conditionalFormatting>
  <conditionalFormatting sqref="J9">
    <cfRule type="expression" priority="14" aboveAverage="0" equalAverage="0" bottom="0" percent="0" rank="0" text="" dxfId="0">
      <formula>$J9="Non commencé"</formula>
    </cfRule>
    <cfRule type="expression" priority="15" aboveAverage="0" equalAverage="0" bottom="0" percent="0" rank="0" text="" dxfId="1">
      <formula>$J9="En cours"</formula>
    </cfRule>
    <cfRule type="expression" priority="16" aboveAverage="0" equalAverage="0" bottom="0" percent="0" rank="0" text="" dxfId="2">
      <formula>$J9="Réalisé"</formula>
    </cfRule>
  </conditionalFormatting>
  <conditionalFormatting sqref="K9">
    <cfRule type="expression" priority="17" aboveAverage="0" equalAverage="0" bottom="0" percent="0" rank="0" text="" dxfId="0">
      <formula>$K9="Non commencé"</formula>
    </cfRule>
    <cfRule type="expression" priority="18" aboveAverage="0" equalAverage="0" bottom="0" percent="0" rank="0" text="" dxfId="1">
      <formula>$K9="En cours"</formula>
    </cfRule>
    <cfRule type="expression" priority="19" aboveAverage="0" equalAverage="0" bottom="0" percent="0" rank="0" text="" dxfId="2">
      <formula>$K9="Terminé (charge atteinte)"</formula>
    </cfRule>
  </conditionalFormatting>
  <conditionalFormatting sqref="I9">
    <cfRule type="dataBar" priority="20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{BAFD338C-92D3-4C70-BC9B-E5B13F9D4E45}</x14:id>
        </ext>
      </extLst>
    </cfRule>
  </conditionalFormatting>
  <conditionalFormatting sqref="H9">
    <cfRule type="expression" priority="21" aboveAverage="0" equalAverage="0" bottom="0" percent="0" rank="0" text="" dxfId="3">
      <formula>AND(ISNUMBER($H9),$H9&lt;0)</formula>
    </cfRule>
  </conditionalFormatting>
  <conditionalFormatting sqref="M9">
    <cfRule type="expression" priority="22" aboveAverage="0" equalAverage="0" bottom="0" percent="0" rank="0" text="" dxfId="79">
      <formula>$M9="Dépassement de charge"</formula>
    </cfRule>
    <cfRule type="expression" priority="23" aboveAverage="0" equalAverage="0" bottom="0" percent="0" rank="0" text="" dxfId="74">
      <formula>AND($M9&lt;&gt;"",$M9&lt;&gt;"Dépassement de charge")</formula>
    </cfRule>
  </conditionalFormatting>
  <conditionalFormatting sqref="A9:N9">
    <cfRule type="expression" priority="24" aboveAverage="0" equalAverage="0" bottom="0" percent="0" rank="0" text="" dxfId="80">
      <formula>$J9="Réalisé"</formula>
    </cfRule>
  </conditionalFormatting>
  <conditionalFormatting sqref="J10">
    <cfRule type="expression" priority="25" aboveAverage="0" equalAverage="0" bottom="0" percent="0" rank="0" text="" dxfId="0">
      <formula>$J10="Non commencé"</formula>
    </cfRule>
    <cfRule type="expression" priority="26" aboveAverage="0" equalAverage="0" bottom="0" percent="0" rank="0" text="" dxfId="1">
      <formula>$J10="En cours"</formula>
    </cfRule>
    <cfRule type="expression" priority="27" aboveAverage="0" equalAverage="0" bottom="0" percent="0" rank="0" text="" dxfId="2">
      <formula>$J10="Réalisé"</formula>
    </cfRule>
  </conditionalFormatting>
  <conditionalFormatting sqref="K10">
    <cfRule type="expression" priority="28" aboveAverage="0" equalAverage="0" bottom="0" percent="0" rank="0" text="" dxfId="0">
      <formula>$K10="Non commencé"</formula>
    </cfRule>
    <cfRule type="expression" priority="29" aboveAverage="0" equalAverage="0" bottom="0" percent="0" rank="0" text="" dxfId="1">
      <formula>$K10="En cours"</formula>
    </cfRule>
    <cfRule type="expression" priority="30" aboveAverage="0" equalAverage="0" bottom="0" percent="0" rank="0" text="" dxfId="2">
      <formula>$K10="Terminé (charge atteinte)"</formula>
    </cfRule>
  </conditionalFormatting>
  <conditionalFormatting sqref="I10">
    <cfRule type="dataBar" priority="31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{3DCE2482-AD77-472F-9EB5-5C183F53EDAB}</x14:id>
        </ext>
      </extLst>
    </cfRule>
  </conditionalFormatting>
  <conditionalFormatting sqref="H10">
    <cfRule type="expression" priority="32" aboveAverage="0" equalAverage="0" bottom="0" percent="0" rank="0" text="" dxfId="3">
      <formula>AND(ISNUMBER($H10),$H10&lt;0)</formula>
    </cfRule>
  </conditionalFormatting>
  <conditionalFormatting sqref="M10">
    <cfRule type="expression" priority="33" aboveAverage="0" equalAverage="0" bottom="0" percent="0" rank="0" text="" dxfId="79">
      <formula>$M10="Dépassement de charge"</formula>
    </cfRule>
    <cfRule type="expression" priority="34" aboveAverage="0" equalAverage="0" bottom="0" percent="0" rank="0" text="" dxfId="74">
      <formula>AND($M10&lt;&gt;"",$M10&lt;&gt;"Dépassement de charge")</formula>
    </cfRule>
  </conditionalFormatting>
  <conditionalFormatting sqref="A10:N10">
    <cfRule type="expression" priority="35" aboveAverage="0" equalAverage="0" bottom="0" percent="0" rank="0" text="" dxfId="80">
      <formula>$J10="Réalisé"</formula>
    </cfRule>
  </conditionalFormatting>
  <conditionalFormatting sqref="J11">
    <cfRule type="expression" priority="36" aboveAverage="0" equalAverage="0" bottom="0" percent="0" rank="0" text="" dxfId="0">
      <formula>$J11="Non commencé"</formula>
    </cfRule>
    <cfRule type="expression" priority="37" aboveAverage="0" equalAverage="0" bottom="0" percent="0" rank="0" text="" dxfId="1">
      <formula>$J11="En cours"</formula>
    </cfRule>
    <cfRule type="expression" priority="38" aboveAverage="0" equalAverage="0" bottom="0" percent="0" rank="0" text="" dxfId="2">
      <formula>$J11="Réalisé"</formula>
    </cfRule>
  </conditionalFormatting>
  <conditionalFormatting sqref="K11">
    <cfRule type="expression" priority="39" aboveAverage="0" equalAverage="0" bottom="0" percent="0" rank="0" text="" dxfId="0">
      <formula>$K11="Non commencé"</formula>
    </cfRule>
    <cfRule type="expression" priority="40" aboveAverage="0" equalAverage="0" bottom="0" percent="0" rank="0" text="" dxfId="1">
      <formula>$K11="En cours"</formula>
    </cfRule>
    <cfRule type="expression" priority="41" aboveAverage="0" equalAverage="0" bottom="0" percent="0" rank="0" text="" dxfId="2">
      <formula>$K11="Terminé (charge atteinte)"</formula>
    </cfRule>
  </conditionalFormatting>
  <conditionalFormatting sqref="I11">
    <cfRule type="dataBar" priority="42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{65D2CD50-9851-425F-A61F-99A1FF41E852}</x14:id>
        </ext>
      </extLst>
    </cfRule>
  </conditionalFormatting>
  <conditionalFormatting sqref="H11">
    <cfRule type="expression" priority="43" aboveAverage="0" equalAverage="0" bottom="0" percent="0" rank="0" text="" dxfId="3">
      <formula>AND(ISNUMBER($H11),$H11&lt;0)</formula>
    </cfRule>
  </conditionalFormatting>
  <conditionalFormatting sqref="M11">
    <cfRule type="expression" priority="44" aboveAverage="0" equalAverage="0" bottom="0" percent="0" rank="0" text="" dxfId="79">
      <formula>$M11="Dépassement de charge"</formula>
    </cfRule>
    <cfRule type="expression" priority="45" aboveAverage="0" equalAverage="0" bottom="0" percent="0" rank="0" text="" dxfId="74">
      <formula>AND($M11&lt;&gt;"",$M11&lt;&gt;"Dépassement de charge")</formula>
    </cfRule>
  </conditionalFormatting>
  <conditionalFormatting sqref="A11:N11">
    <cfRule type="expression" priority="46" aboveAverage="0" equalAverage="0" bottom="0" percent="0" rank="0" text="" dxfId="80">
      <formula>$J11="Réalisé"</formula>
    </cfRule>
  </conditionalFormatting>
  <conditionalFormatting sqref="J12">
    <cfRule type="expression" priority="47" aboveAverage="0" equalAverage="0" bottom="0" percent="0" rank="0" text="" dxfId="0">
      <formula>$J12="Non commencé"</formula>
    </cfRule>
    <cfRule type="expression" priority="48" aboveAverage="0" equalAverage="0" bottom="0" percent="0" rank="0" text="" dxfId="1">
      <formula>$J12="En cours"</formula>
    </cfRule>
    <cfRule type="expression" priority="49" aboveAverage="0" equalAverage="0" bottom="0" percent="0" rank="0" text="" dxfId="2">
      <formula>$J12="Réalisé"</formula>
    </cfRule>
  </conditionalFormatting>
  <conditionalFormatting sqref="K12">
    <cfRule type="expression" priority="50" aboveAverage="0" equalAverage="0" bottom="0" percent="0" rank="0" text="" dxfId="0">
      <formula>$K12="Non commencé"</formula>
    </cfRule>
    <cfRule type="expression" priority="51" aboveAverage="0" equalAverage="0" bottom="0" percent="0" rank="0" text="" dxfId="1">
      <formula>$K12="En cours"</formula>
    </cfRule>
    <cfRule type="expression" priority="52" aboveAverage="0" equalAverage="0" bottom="0" percent="0" rank="0" text="" dxfId="2">
      <formula>$K12="Terminé (charge atteinte)"</formula>
    </cfRule>
  </conditionalFormatting>
  <conditionalFormatting sqref="I12">
    <cfRule type="dataBar" priority="53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{80E4795A-154C-484F-A799-951A85A832C0}</x14:id>
        </ext>
      </extLst>
    </cfRule>
  </conditionalFormatting>
  <conditionalFormatting sqref="H12">
    <cfRule type="expression" priority="54" aboveAverage="0" equalAverage="0" bottom="0" percent="0" rank="0" text="" dxfId="3">
      <formula>AND(ISNUMBER($H12),$H12&lt;0)</formula>
    </cfRule>
  </conditionalFormatting>
  <conditionalFormatting sqref="M12">
    <cfRule type="expression" priority="55" aboveAverage="0" equalAverage="0" bottom="0" percent="0" rank="0" text="" dxfId="79">
      <formula>$M12="Dépassement de charge"</formula>
    </cfRule>
    <cfRule type="expression" priority="56" aboveAverage="0" equalAverage="0" bottom="0" percent="0" rank="0" text="" dxfId="74">
      <formula>AND($M12&lt;&gt;"",$M12&lt;&gt;"Dépassement de charge")</formula>
    </cfRule>
  </conditionalFormatting>
  <conditionalFormatting sqref="A12:N12">
    <cfRule type="expression" priority="57" aboveAverage="0" equalAverage="0" bottom="0" percent="0" rank="0" text="" dxfId="80">
      <formula>$J12="Réalisé"</formula>
    </cfRule>
  </conditionalFormatting>
  <conditionalFormatting sqref="J13">
    <cfRule type="expression" priority="58" aboveAverage="0" equalAverage="0" bottom="0" percent="0" rank="0" text="" dxfId="0">
      <formula>$J13="Non commencé"</formula>
    </cfRule>
    <cfRule type="expression" priority="59" aboveAverage="0" equalAverage="0" bottom="0" percent="0" rank="0" text="" dxfId="1">
      <formula>$J13="En cours"</formula>
    </cfRule>
    <cfRule type="expression" priority="60" aboveAverage="0" equalAverage="0" bottom="0" percent="0" rank="0" text="" dxfId="2">
      <formula>$J13="Réalisé"</formula>
    </cfRule>
  </conditionalFormatting>
  <conditionalFormatting sqref="K13">
    <cfRule type="expression" priority="61" aboveAverage="0" equalAverage="0" bottom="0" percent="0" rank="0" text="" dxfId="0">
      <formula>$K13="Non commencé"</formula>
    </cfRule>
    <cfRule type="expression" priority="62" aboveAverage="0" equalAverage="0" bottom="0" percent="0" rank="0" text="" dxfId="1">
      <formula>$K13="En cours"</formula>
    </cfRule>
    <cfRule type="expression" priority="63" aboveAverage="0" equalAverage="0" bottom="0" percent="0" rank="0" text="" dxfId="2">
      <formula>$K13="Terminé (charge atteinte)"</formula>
    </cfRule>
  </conditionalFormatting>
  <conditionalFormatting sqref="I13">
    <cfRule type="dataBar" priority="64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{C7D767B0-C5A0-4816-AD86-9754A4892585}</x14:id>
        </ext>
      </extLst>
    </cfRule>
  </conditionalFormatting>
  <conditionalFormatting sqref="H13">
    <cfRule type="expression" priority="65" aboveAverage="0" equalAverage="0" bottom="0" percent="0" rank="0" text="" dxfId="3">
      <formula>AND(ISNUMBER($H13),$H13&lt;0)</formula>
    </cfRule>
  </conditionalFormatting>
  <conditionalFormatting sqref="M13">
    <cfRule type="expression" priority="66" aboveAverage="0" equalAverage="0" bottom="0" percent="0" rank="0" text="" dxfId="79">
      <formula>$M13="Dépassement de charge"</formula>
    </cfRule>
    <cfRule type="expression" priority="67" aboveAverage="0" equalAverage="0" bottom="0" percent="0" rank="0" text="" dxfId="74">
      <formula>AND($M13&lt;&gt;"",$M13&lt;&gt;"Dépassement de charge")</formula>
    </cfRule>
  </conditionalFormatting>
  <conditionalFormatting sqref="A13:N13">
    <cfRule type="expression" priority="68" aboveAverage="0" equalAverage="0" bottom="0" percent="0" rank="0" text="" dxfId="80">
      <formula>$J13="Réalisé"</formula>
    </cfRule>
  </conditionalFormatting>
  <conditionalFormatting sqref="J14">
    <cfRule type="expression" priority="69" aboveAverage="0" equalAverage="0" bottom="0" percent="0" rank="0" text="" dxfId="0">
      <formula>$J14="Non commencé"</formula>
    </cfRule>
    <cfRule type="expression" priority="70" aboveAverage="0" equalAverage="0" bottom="0" percent="0" rank="0" text="" dxfId="1">
      <formula>$J14="En cours"</formula>
    </cfRule>
    <cfRule type="expression" priority="71" aboveAverage="0" equalAverage="0" bottom="0" percent="0" rank="0" text="" dxfId="2">
      <formula>$J14="Réalisé"</formula>
    </cfRule>
  </conditionalFormatting>
  <conditionalFormatting sqref="K14">
    <cfRule type="expression" priority="72" aboveAverage="0" equalAverage="0" bottom="0" percent="0" rank="0" text="" dxfId="0">
      <formula>$K14="Non commencé"</formula>
    </cfRule>
    <cfRule type="expression" priority="73" aboveAverage="0" equalAverage="0" bottom="0" percent="0" rank="0" text="" dxfId="1">
      <formula>$K14="En cours"</formula>
    </cfRule>
    <cfRule type="expression" priority="74" aboveAverage="0" equalAverage="0" bottom="0" percent="0" rank="0" text="" dxfId="2">
      <formula>$K14="Terminé (charge atteinte)"</formula>
    </cfRule>
  </conditionalFormatting>
  <conditionalFormatting sqref="I14">
    <cfRule type="dataBar" priority="75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{4387EDFF-7CAB-491E-8A65-A3DF15FCE678}</x14:id>
        </ext>
      </extLst>
    </cfRule>
  </conditionalFormatting>
  <conditionalFormatting sqref="H14">
    <cfRule type="expression" priority="76" aboveAverage="0" equalAverage="0" bottom="0" percent="0" rank="0" text="" dxfId="3">
      <formula>AND(ISNUMBER($H14),$H14&lt;0)</formula>
    </cfRule>
  </conditionalFormatting>
  <conditionalFormatting sqref="M14">
    <cfRule type="expression" priority="77" aboveAverage="0" equalAverage="0" bottom="0" percent="0" rank="0" text="" dxfId="79">
      <formula>$M14="Dépassement de charge"</formula>
    </cfRule>
    <cfRule type="expression" priority="78" aboveAverage="0" equalAverage="0" bottom="0" percent="0" rank="0" text="" dxfId="74">
      <formula>AND($M14&lt;&gt;"",$M14&lt;&gt;"Dépassement de charge")</formula>
    </cfRule>
  </conditionalFormatting>
  <conditionalFormatting sqref="A14:N14">
    <cfRule type="expression" priority="79" aboveAverage="0" equalAverage="0" bottom="0" percent="0" rank="0" text="" dxfId="80">
      <formula>$J14="Réalisé"</formula>
    </cfRule>
  </conditionalFormatting>
  <conditionalFormatting sqref="J15">
    <cfRule type="expression" priority="80" aboveAverage="0" equalAverage="0" bottom="0" percent="0" rank="0" text="" dxfId="0">
      <formula>$J15="Non commencé"</formula>
    </cfRule>
    <cfRule type="expression" priority="81" aboveAverage="0" equalAverage="0" bottom="0" percent="0" rank="0" text="" dxfId="1">
      <formula>$J15="En cours"</formula>
    </cfRule>
    <cfRule type="expression" priority="82" aboveAverage="0" equalAverage="0" bottom="0" percent="0" rank="0" text="" dxfId="2">
      <formula>$J15="Réalisé"</formula>
    </cfRule>
  </conditionalFormatting>
  <conditionalFormatting sqref="K15">
    <cfRule type="expression" priority="83" aboveAverage="0" equalAverage="0" bottom="0" percent="0" rank="0" text="" dxfId="0">
      <formula>$K15="Non commencé"</formula>
    </cfRule>
    <cfRule type="expression" priority="84" aboveAverage="0" equalAverage="0" bottom="0" percent="0" rank="0" text="" dxfId="1">
      <formula>$K15="En cours"</formula>
    </cfRule>
    <cfRule type="expression" priority="85" aboveAverage="0" equalAverage="0" bottom="0" percent="0" rank="0" text="" dxfId="2">
      <formula>$K15="Terminé (charge atteinte)"</formula>
    </cfRule>
  </conditionalFormatting>
  <conditionalFormatting sqref="I15">
    <cfRule type="dataBar" priority="86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{2F52D153-2068-49AD-8A7F-983590B9D0B2}</x14:id>
        </ext>
      </extLst>
    </cfRule>
  </conditionalFormatting>
  <conditionalFormatting sqref="H15">
    <cfRule type="expression" priority="87" aboveAverage="0" equalAverage="0" bottom="0" percent="0" rank="0" text="" dxfId="3">
      <formula>AND(ISNUMBER($H15),$H15&lt;0)</formula>
    </cfRule>
  </conditionalFormatting>
  <conditionalFormatting sqref="M15">
    <cfRule type="expression" priority="88" aboveAverage="0" equalAverage="0" bottom="0" percent="0" rank="0" text="" dxfId="79">
      <formula>$M15="Dépassement de charge"</formula>
    </cfRule>
    <cfRule type="expression" priority="89" aboveAverage="0" equalAverage="0" bottom="0" percent="0" rank="0" text="" dxfId="74">
      <formula>AND($M15&lt;&gt;"",$M15&lt;&gt;"Dépassement de charge")</formula>
    </cfRule>
  </conditionalFormatting>
  <conditionalFormatting sqref="A15:N15">
    <cfRule type="expression" priority="90" aboveAverage="0" equalAverage="0" bottom="0" percent="0" rank="0" text="" dxfId="80">
      <formula>$J15="Réalisé"</formula>
    </cfRule>
  </conditionalFormatting>
  <conditionalFormatting sqref="J16">
    <cfRule type="expression" priority="91" aboveAverage="0" equalAverage="0" bottom="0" percent="0" rank="0" text="" dxfId="0">
      <formula>$J16="Non commencé"</formula>
    </cfRule>
    <cfRule type="expression" priority="92" aboveAverage="0" equalAverage="0" bottom="0" percent="0" rank="0" text="" dxfId="1">
      <formula>$J16="En cours"</formula>
    </cfRule>
    <cfRule type="expression" priority="93" aboveAverage="0" equalAverage="0" bottom="0" percent="0" rank="0" text="" dxfId="2">
      <formula>$J16="Réalisé"</formula>
    </cfRule>
  </conditionalFormatting>
  <conditionalFormatting sqref="K16">
    <cfRule type="expression" priority="94" aboveAverage="0" equalAverage="0" bottom="0" percent="0" rank="0" text="" dxfId="0">
      <formula>$K16="Non commencé"</formula>
    </cfRule>
    <cfRule type="expression" priority="95" aboveAverage="0" equalAverage="0" bottom="0" percent="0" rank="0" text="" dxfId="1">
      <formula>$K16="En cours"</formula>
    </cfRule>
    <cfRule type="expression" priority="96" aboveAverage="0" equalAverage="0" bottom="0" percent="0" rank="0" text="" dxfId="2">
      <formula>$K16="Terminé (charge atteinte)"</formula>
    </cfRule>
  </conditionalFormatting>
  <conditionalFormatting sqref="I16">
    <cfRule type="dataBar" priority="97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{1843EFBD-8CBD-4421-A9A6-B0EB71485573}</x14:id>
        </ext>
      </extLst>
    </cfRule>
  </conditionalFormatting>
  <conditionalFormatting sqref="H16">
    <cfRule type="expression" priority="98" aboveAverage="0" equalAverage="0" bottom="0" percent="0" rank="0" text="" dxfId="3">
      <formula>AND(ISNUMBER($H16),$H16&lt;0)</formula>
    </cfRule>
  </conditionalFormatting>
  <conditionalFormatting sqref="M16">
    <cfRule type="expression" priority="99" aboveAverage="0" equalAverage="0" bottom="0" percent="0" rank="0" text="" dxfId="79">
      <formula>$M16="Dépassement de charge"</formula>
    </cfRule>
    <cfRule type="expression" priority="100" aboveAverage="0" equalAverage="0" bottom="0" percent="0" rank="0" text="" dxfId="74">
      <formula>AND($M16&lt;&gt;"",$M16&lt;&gt;"Dépassement de charge")</formula>
    </cfRule>
  </conditionalFormatting>
  <conditionalFormatting sqref="A16:N16">
    <cfRule type="expression" priority="101" aboveAverage="0" equalAverage="0" bottom="0" percent="0" rank="0" text="" dxfId="80">
      <formula>$J16="Réalisé"</formula>
    </cfRule>
  </conditionalFormatting>
  <conditionalFormatting sqref="J17">
    <cfRule type="expression" priority="102" aboveAverage="0" equalAverage="0" bottom="0" percent="0" rank="0" text="" dxfId="0">
      <formula>$J17="Non commencé"</formula>
    </cfRule>
    <cfRule type="expression" priority="103" aboveAverage="0" equalAverage="0" bottom="0" percent="0" rank="0" text="" dxfId="1">
      <formula>$J17="En cours"</formula>
    </cfRule>
    <cfRule type="expression" priority="104" aboveAverage="0" equalAverage="0" bottom="0" percent="0" rank="0" text="" dxfId="2">
      <formula>$J17="Réalisé"</formula>
    </cfRule>
  </conditionalFormatting>
  <conditionalFormatting sqref="K17">
    <cfRule type="expression" priority="105" aboveAverage="0" equalAverage="0" bottom="0" percent="0" rank="0" text="" dxfId="0">
      <formula>$K17="Non commencé"</formula>
    </cfRule>
    <cfRule type="expression" priority="106" aboveAverage="0" equalAverage="0" bottom="0" percent="0" rank="0" text="" dxfId="1">
      <formula>$K17="En cours"</formula>
    </cfRule>
    <cfRule type="expression" priority="107" aboveAverage="0" equalAverage="0" bottom="0" percent="0" rank="0" text="" dxfId="2">
      <formula>$K17="Terminé (charge atteinte)"</formula>
    </cfRule>
  </conditionalFormatting>
  <conditionalFormatting sqref="I17">
    <cfRule type="dataBar" priority="108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{12195357-5700-4BF3-B932-409B4DDB6F57}</x14:id>
        </ext>
      </extLst>
    </cfRule>
  </conditionalFormatting>
  <conditionalFormatting sqref="H17">
    <cfRule type="expression" priority="109" aboveAverage="0" equalAverage="0" bottom="0" percent="0" rank="0" text="" dxfId="3">
      <formula>AND(ISNUMBER($H17),$H17&lt;0)</formula>
    </cfRule>
  </conditionalFormatting>
  <conditionalFormatting sqref="M17">
    <cfRule type="expression" priority="110" aboveAverage="0" equalAverage="0" bottom="0" percent="0" rank="0" text="" dxfId="79">
      <formula>$M17="Dépassement de charge"</formula>
    </cfRule>
    <cfRule type="expression" priority="111" aboveAverage="0" equalAverage="0" bottom="0" percent="0" rank="0" text="" dxfId="74">
      <formula>AND($M17&lt;&gt;"",$M17&lt;&gt;"Dépassement de charge")</formula>
    </cfRule>
  </conditionalFormatting>
  <conditionalFormatting sqref="A17:N17">
    <cfRule type="expression" priority="112" aboveAverage="0" equalAverage="0" bottom="0" percent="0" rank="0" text="" dxfId="80">
      <formula>$J17="Réalisé"</formula>
    </cfRule>
  </conditionalFormatting>
  <conditionalFormatting sqref="J18">
    <cfRule type="expression" priority="113" aboveAverage="0" equalAverage="0" bottom="0" percent="0" rank="0" text="" dxfId="0">
      <formula>$J18="Non commencé"</formula>
    </cfRule>
    <cfRule type="expression" priority="114" aboveAverage="0" equalAverage="0" bottom="0" percent="0" rank="0" text="" dxfId="1">
      <formula>$J18="En cours"</formula>
    </cfRule>
    <cfRule type="expression" priority="115" aboveAverage="0" equalAverage="0" bottom="0" percent="0" rank="0" text="" dxfId="2">
      <formula>$J18="Réalisé"</formula>
    </cfRule>
  </conditionalFormatting>
  <conditionalFormatting sqref="K18">
    <cfRule type="expression" priority="116" aboveAverage="0" equalAverage="0" bottom="0" percent="0" rank="0" text="" dxfId="0">
      <formula>$K18="Non commencé"</formula>
    </cfRule>
    <cfRule type="expression" priority="117" aboveAverage="0" equalAverage="0" bottom="0" percent="0" rank="0" text="" dxfId="1">
      <formula>$K18="En cours"</formula>
    </cfRule>
    <cfRule type="expression" priority="118" aboveAverage="0" equalAverage="0" bottom="0" percent="0" rank="0" text="" dxfId="2">
      <formula>$K18="Terminé (charge atteinte)"</formula>
    </cfRule>
  </conditionalFormatting>
  <conditionalFormatting sqref="I18">
    <cfRule type="dataBar" priority="119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{D6358217-A89D-416C-9C67-718149002453}</x14:id>
        </ext>
      </extLst>
    </cfRule>
  </conditionalFormatting>
  <conditionalFormatting sqref="H18">
    <cfRule type="expression" priority="120" aboveAverage="0" equalAverage="0" bottom="0" percent="0" rank="0" text="" dxfId="3">
      <formula>AND(ISNUMBER($H18),$H18&lt;0)</formula>
    </cfRule>
  </conditionalFormatting>
  <conditionalFormatting sqref="M18">
    <cfRule type="expression" priority="121" aboveAverage="0" equalAverage="0" bottom="0" percent="0" rank="0" text="" dxfId="79">
      <formula>$M18="Dépassement de charge"</formula>
    </cfRule>
    <cfRule type="expression" priority="122" aboveAverage="0" equalAverage="0" bottom="0" percent="0" rank="0" text="" dxfId="74">
      <formula>AND($M18&lt;&gt;"",$M18&lt;&gt;"Dépassement de charge")</formula>
    </cfRule>
  </conditionalFormatting>
  <conditionalFormatting sqref="A18:N18">
    <cfRule type="expression" priority="123" aboveAverage="0" equalAverage="0" bottom="0" percent="0" rank="0" text="" dxfId="80">
      <formula>$J18="Réalisé"</formula>
    </cfRule>
  </conditionalFormatting>
  <conditionalFormatting sqref="J19">
    <cfRule type="expression" priority="124" aboveAverage="0" equalAverage="0" bottom="0" percent="0" rank="0" text="" dxfId="0">
      <formula>$J19="Non commencé"</formula>
    </cfRule>
    <cfRule type="expression" priority="125" aboveAverage="0" equalAverage="0" bottom="0" percent="0" rank="0" text="" dxfId="1">
      <formula>$J19="En cours"</formula>
    </cfRule>
    <cfRule type="expression" priority="126" aboveAverage="0" equalAverage="0" bottom="0" percent="0" rank="0" text="" dxfId="2">
      <formula>$J19="Réalisé"</formula>
    </cfRule>
  </conditionalFormatting>
  <conditionalFormatting sqref="K19">
    <cfRule type="expression" priority="127" aboveAverage="0" equalAverage="0" bottom="0" percent="0" rank="0" text="" dxfId="0">
      <formula>$K19="Non commencé"</formula>
    </cfRule>
    <cfRule type="expression" priority="128" aboveAverage="0" equalAverage="0" bottom="0" percent="0" rank="0" text="" dxfId="1">
      <formula>$K19="En cours"</formula>
    </cfRule>
    <cfRule type="expression" priority="129" aboveAverage="0" equalAverage="0" bottom="0" percent="0" rank="0" text="" dxfId="2">
      <formula>$K19="Terminé (charge atteinte)"</formula>
    </cfRule>
  </conditionalFormatting>
  <conditionalFormatting sqref="I19">
    <cfRule type="dataBar" priority="130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{65C48D24-F03F-41D2-A5EE-8012A8F4B880}</x14:id>
        </ext>
      </extLst>
    </cfRule>
  </conditionalFormatting>
  <conditionalFormatting sqref="H19">
    <cfRule type="expression" priority="131" aboveAverage="0" equalAverage="0" bottom="0" percent="0" rank="0" text="" dxfId="3">
      <formula>AND(ISNUMBER($H19),$H19&lt;0)</formula>
    </cfRule>
  </conditionalFormatting>
  <conditionalFormatting sqref="M19">
    <cfRule type="expression" priority="132" aboveAverage="0" equalAverage="0" bottom="0" percent="0" rank="0" text="" dxfId="79">
      <formula>$M19="Dépassement de charge"</formula>
    </cfRule>
    <cfRule type="expression" priority="133" aboveAverage="0" equalAverage="0" bottom="0" percent="0" rank="0" text="" dxfId="74">
      <formula>AND($M19&lt;&gt;"",$M19&lt;&gt;"Dépassement de charge")</formula>
    </cfRule>
  </conditionalFormatting>
  <conditionalFormatting sqref="A19:N19">
    <cfRule type="expression" priority="134" aboveAverage="0" equalAverage="0" bottom="0" percent="0" rank="0" text="" dxfId="80">
      <formula>$J19="Réalisé"</formula>
    </cfRule>
  </conditionalFormatting>
  <conditionalFormatting sqref="J20">
    <cfRule type="expression" priority="135" aboveAverage="0" equalAverage="0" bottom="0" percent="0" rank="0" text="" dxfId="0">
      <formula>$J20="Non commencé"</formula>
    </cfRule>
    <cfRule type="expression" priority="136" aboveAverage="0" equalAverage="0" bottom="0" percent="0" rank="0" text="" dxfId="1">
      <formula>$J20="En cours"</formula>
    </cfRule>
    <cfRule type="expression" priority="137" aboveAverage="0" equalAverage="0" bottom="0" percent="0" rank="0" text="" dxfId="2">
      <formula>$J20="Réalisé"</formula>
    </cfRule>
  </conditionalFormatting>
  <conditionalFormatting sqref="K20">
    <cfRule type="expression" priority="138" aboveAverage="0" equalAverage="0" bottom="0" percent="0" rank="0" text="" dxfId="0">
      <formula>$K20="Non commencé"</formula>
    </cfRule>
    <cfRule type="expression" priority="139" aboveAverage="0" equalAverage="0" bottom="0" percent="0" rank="0" text="" dxfId="1">
      <formula>$K20="En cours"</formula>
    </cfRule>
    <cfRule type="expression" priority="140" aboveAverage="0" equalAverage="0" bottom="0" percent="0" rank="0" text="" dxfId="2">
      <formula>$K20="Terminé (charge atteinte)"</formula>
    </cfRule>
  </conditionalFormatting>
  <conditionalFormatting sqref="I20">
    <cfRule type="dataBar" priority="141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{AAD3C27D-8162-4520-A758-781F3F164B2F}</x14:id>
        </ext>
      </extLst>
    </cfRule>
  </conditionalFormatting>
  <conditionalFormatting sqref="H20">
    <cfRule type="expression" priority="142" aboveAverage="0" equalAverage="0" bottom="0" percent="0" rank="0" text="" dxfId="3">
      <formula>AND(ISNUMBER($H20),$H20&lt;0)</formula>
    </cfRule>
  </conditionalFormatting>
  <conditionalFormatting sqref="M20">
    <cfRule type="expression" priority="143" aboveAverage="0" equalAverage="0" bottom="0" percent="0" rank="0" text="" dxfId="79">
      <formula>$M20="Dépassement de charge"</formula>
    </cfRule>
    <cfRule type="expression" priority="144" aboveAverage="0" equalAverage="0" bottom="0" percent="0" rank="0" text="" dxfId="74">
      <formula>AND($M20&lt;&gt;"",$M20&lt;&gt;"Dépassement de charge")</formula>
    </cfRule>
  </conditionalFormatting>
  <conditionalFormatting sqref="A20:N20">
    <cfRule type="expression" priority="145" aboveAverage="0" equalAverage="0" bottom="0" percent="0" rank="0" text="" dxfId="80">
      <formula>$J20="Réalisé"</formula>
    </cfRule>
  </conditionalFormatting>
  <conditionalFormatting sqref="J21">
    <cfRule type="expression" priority="146" aboveAverage="0" equalAverage="0" bottom="0" percent="0" rank="0" text="" dxfId="0">
      <formula>$J21="Non commencé"</formula>
    </cfRule>
    <cfRule type="expression" priority="147" aboveAverage="0" equalAverage="0" bottom="0" percent="0" rank="0" text="" dxfId="1">
      <formula>$J21="En cours"</formula>
    </cfRule>
    <cfRule type="expression" priority="148" aboveAverage="0" equalAverage="0" bottom="0" percent="0" rank="0" text="" dxfId="2">
      <formula>$J21="Réalisé"</formula>
    </cfRule>
  </conditionalFormatting>
  <conditionalFormatting sqref="K21">
    <cfRule type="expression" priority="149" aboveAverage="0" equalAverage="0" bottom="0" percent="0" rank="0" text="" dxfId="0">
      <formula>$K21="Non commencé"</formula>
    </cfRule>
    <cfRule type="expression" priority="150" aboveAverage="0" equalAverage="0" bottom="0" percent="0" rank="0" text="" dxfId="1">
      <formula>$K21="En cours"</formula>
    </cfRule>
    <cfRule type="expression" priority="151" aboveAverage="0" equalAverage="0" bottom="0" percent="0" rank="0" text="" dxfId="2">
      <formula>$K21="Terminé (charge atteinte)"</formula>
    </cfRule>
  </conditionalFormatting>
  <conditionalFormatting sqref="I21">
    <cfRule type="dataBar" priority="152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{61D11A2F-A428-4BEE-9E56-5391959975BE}</x14:id>
        </ext>
      </extLst>
    </cfRule>
  </conditionalFormatting>
  <conditionalFormatting sqref="H21">
    <cfRule type="expression" priority="153" aboveAverage="0" equalAverage="0" bottom="0" percent="0" rank="0" text="" dxfId="3">
      <formula>AND(ISNUMBER($H21),$H21&lt;0)</formula>
    </cfRule>
  </conditionalFormatting>
  <conditionalFormatting sqref="M21">
    <cfRule type="expression" priority="154" aboveAverage="0" equalAverage="0" bottom="0" percent="0" rank="0" text="" dxfId="79">
      <formula>$M21="Dépassement de charge"</formula>
    </cfRule>
    <cfRule type="expression" priority="155" aboveAverage="0" equalAverage="0" bottom="0" percent="0" rank="0" text="" dxfId="74">
      <formula>AND($M21&lt;&gt;"",$M21&lt;&gt;"Dépassement de charge")</formula>
    </cfRule>
  </conditionalFormatting>
  <conditionalFormatting sqref="A21:N21">
    <cfRule type="expression" priority="156" aboveAverage="0" equalAverage="0" bottom="0" percent="0" rank="0" text="" dxfId="80">
      <formula>$J21="Réalisé"</formula>
    </cfRule>
  </conditionalFormatting>
  <conditionalFormatting sqref="J22">
    <cfRule type="expression" priority="157" aboveAverage="0" equalAverage="0" bottom="0" percent="0" rank="0" text="" dxfId="0">
      <formula>$J22="Non commencé"</formula>
    </cfRule>
    <cfRule type="expression" priority="158" aboveAverage="0" equalAverage="0" bottom="0" percent="0" rank="0" text="" dxfId="1">
      <formula>$J22="En cours"</formula>
    </cfRule>
    <cfRule type="expression" priority="159" aboveAverage="0" equalAverage="0" bottom="0" percent="0" rank="0" text="" dxfId="2">
      <formula>$J22="Réalisé"</formula>
    </cfRule>
  </conditionalFormatting>
  <conditionalFormatting sqref="K22">
    <cfRule type="expression" priority="160" aboveAverage="0" equalAverage="0" bottom="0" percent="0" rank="0" text="" dxfId="0">
      <formula>$K22="Non commencé"</formula>
    </cfRule>
    <cfRule type="expression" priority="161" aboveAverage="0" equalAverage="0" bottom="0" percent="0" rank="0" text="" dxfId="1">
      <formula>$K22="En cours"</formula>
    </cfRule>
    <cfRule type="expression" priority="162" aboveAverage="0" equalAverage="0" bottom="0" percent="0" rank="0" text="" dxfId="2">
      <formula>$K22="Terminé (charge atteinte)"</formula>
    </cfRule>
  </conditionalFormatting>
  <conditionalFormatting sqref="I22">
    <cfRule type="dataBar" priority="163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{AA359B1F-A777-409B-B1AC-CB7194AFBC30}</x14:id>
        </ext>
      </extLst>
    </cfRule>
  </conditionalFormatting>
  <conditionalFormatting sqref="H22">
    <cfRule type="expression" priority="164" aboveAverage="0" equalAverage="0" bottom="0" percent="0" rank="0" text="" dxfId="3">
      <formula>AND(ISNUMBER($H22),$H22&lt;0)</formula>
    </cfRule>
  </conditionalFormatting>
  <conditionalFormatting sqref="M22">
    <cfRule type="expression" priority="165" aboveAverage="0" equalAverage="0" bottom="0" percent="0" rank="0" text="" dxfId="79">
      <formula>$M22="Dépassement de charge"</formula>
    </cfRule>
    <cfRule type="expression" priority="166" aboveAverage="0" equalAverage="0" bottom="0" percent="0" rank="0" text="" dxfId="74">
      <formula>AND($M22&lt;&gt;"",$M22&lt;&gt;"Dépassement de charge")</formula>
    </cfRule>
  </conditionalFormatting>
  <conditionalFormatting sqref="A22:N22">
    <cfRule type="expression" priority="167" aboveAverage="0" equalAverage="0" bottom="0" percent="0" rank="0" text="" dxfId="80">
      <formula>$J22="Réalisé"</formula>
    </cfRule>
  </conditionalFormatting>
  <conditionalFormatting sqref="J23">
    <cfRule type="expression" priority="168" aboveAverage="0" equalAverage="0" bottom="0" percent="0" rank="0" text="" dxfId="0">
      <formula>$J23="Non commencé"</formula>
    </cfRule>
    <cfRule type="expression" priority="169" aboveAverage="0" equalAverage="0" bottom="0" percent="0" rank="0" text="" dxfId="1">
      <formula>$J23="En cours"</formula>
    </cfRule>
    <cfRule type="expression" priority="170" aboveAverage="0" equalAverage="0" bottom="0" percent="0" rank="0" text="" dxfId="2">
      <formula>$J23="Réalisé"</formula>
    </cfRule>
  </conditionalFormatting>
  <conditionalFormatting sqref="K23">
    <cfRule type="expression" priority="171" aboveAverage="0" equalAverage="0" bottom="0" percent="0" rank="0" text="" dxfId="0">
      <formula>$K23="Non commencé"</formula>
    </cfRule>
    <cfRule type="expression" priority="172" aboveAverage="0" equalAverage="0" bottom="0" percent="0" rank="0" text="" dxfId="1">
      <formula>$K23="En cours"</formula>
    </cfRule>
    <cfRule type="expression" priority="173" aboveAverage="0" equalAverage="0" bottom="0" percent="0" rank="0" text="" dxfId="2">
      <formula>$K23="Terminé (charge atteinte)"</formula>
    </cfRule>
  </conditionalFormatting>
  <conditionalFormatting sqref="I23">
    <cfRule type="dataBar" priority="174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{9D93BC43-F0BF-446D-A43C-7650E959EF3A}</x14:id>
        </ext>
      </extLst>
    </cfRule>
  </conditionalFormatting>
  <conditionalFormatting sqref="H23">
    <cfRule type="expression" priority="175" aboveAverage="0" equalAverage="0" bottom="0" percent="0" rank="0" text="" dxfId="3">
      <formula>AND(ISNUMBER($H23),$H23&lt;0)</formula>
    </cfRule>
  </conditionalFormatting>
  <conditionalFormatting sqref="M23">
    <cfRule type="expression" priority="176" aboveAverage="0" equalAverage="0" bottom="0" percent="0" rank="0" text="" dxfId="79">
      <formula>$M23="Dépassement de charge"</formula>
    </cfRule>
    <cfRule type="expression" priority="177" aboveAverage="0" equalAverage="0" bottom="0" percent="0" rank="0" text="" dxfId="74">
      <formula>AND($M23&lt;&gt;"",$M23&lt;&gt;"Dépassement de charge")</formula>
    </cfRule>
  </conditionalFormatting>
  <conditionalFormatting sqref="A23:N23">
    <cfRule type="expression" priority="178" aboveAverage="0" equalAverage="0" bottom="0" percent="0" rank="0" text="" dxfId="80">
      <formula>$J23="Réalisé"</formula>
    </cfRule>
  </conditionalFormatting>
  <conditionalFormatting sqref="J24">
    <cfRule type="expression" priority="179" aboveAverage="0" equalAverage="0" bottom="0" percent="0" rank="0" text="" dxfId="0">
      <formula>$J24="Non commencé"</formula>
    </cfRule>
    <cfRule type="expression" priority="180" aboveAverage="0" equalAverage="0" bottom="0" percent="0" rank="0" text="" dxfId="1">
      <formula>$J24="En cours"</formula>
    </cfRule>
    <cfRule type="expression" priority="181" aboveAverage="0" equalAverage="0" bottom="0" percent="0" rank="0" text="" dxfId="2">
      <formula>$J24="Réalisé"</formula>
    </cfRule>
  </conditionalFormatting>
  <conditionalFormatting sqref="K24">
    <cfRule type="expression" priority="182" aboveAverage="0" equalAverage="0" bottom="0" percent="0" rank="0" text="" dxfId="0">
      <formula>$K24="Non commencé"</formula>
    </cfRule>
    <cfRule type="expression" priority="183" aboveAverage="0" equalAverage="0" bottom="0" percent="0" rank="0" text="" dxfId="1">
      <formula>$K24="En cours"</formula>
    </cfRule>
    <cfRule type="expression" priority="184" aboveAverage="0" equalAverage="0" bottom="0" percent="0" rank="0" text="" dxfId="2">
      <formula>$K24="Terminé (charge atteinte)"</formula>
    </cfRule>
  </conditionalFormatting>
  <conditionalFormatting sqref="I24">
    <cfRule type="dataBar" priority="185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{9AC5E34A-C367-44B8-8784-A450D7C62959}</x14:id>
        </ext>
      </extLst>
    </cfRule>
  </conditionalFormatting>
  <conditionalFormatting sqref="H24">
    <cfRule type="expression" priority="186" aboveAverage="0" equalAverage="0" bottom="0" percent="0" rank="0" text="" dxfId="3">
      <formula>AND(ISNUMBER($H24),$H24&lt;0)</formula>
    </cfRule>
  </conditionalFormatting>
  <conditionalFormatting sqref="M24">
    <cfRule type="expression" priority="187" aboveAverage="0" equalAverage="0" bottom="0" percent="0" rank="0" text="" dxfId="79">
      <formula>$M24="Dépassement de charge"</formula>
    </cfRule>
    <cfRule type="expression" priority="188" aboveAverage="0" equalAverage="0" bottom="0" percent="0" rank="0" text="" dxfId="74">
      <formula>AND($M24&lt;&gt;"",$M24&lt;&gt;"Dépassement de charge")</formula>
    </cfRule>
  </conditionalFormatting>
  <conditionalFormatting sqref="A24:N24">
    <cfRule type="expression" priority="189" aboveAverage="0" equalAverage="0" bottom="0" percent="0" rank="0" text="" dxfId="80">
      <formula>$J24="Réalisé"</formula>
    </cfRule>
  </conditionalFormatting>
  <conditionalFormatting sqref="J25">
    <cfRule type="expression" priority="190" aboveAverage="0" equalAverage="0" bottom="0" percent="0" rank="0" text="" dxfId="0">
      <formula>$J25="Non commencé"</formula>
    </cfRule>
    <cfRule type="expression" priority="191" aboveAverage="0" equalAverage="0" bottom="0" percent="0" rank="0" text="" dxfId="1">
      <formula>$J25="En cours"</formula>
    </cfRule>
    <cfRule type="expression" priority="192" aboveAverage="0" equalAverage="0" bottom="0" percent="0" rank="0" text="" dxfId="2">
      <formula>$J25="Réalisé"</formula>
    </cfRule>
  </conditionalFormatting>
  <conditionalFormatting sqref="K25">
    <cfRule type="expression" priority="193" aboveAverage="0" equalAverage="0" bottom="0" percent="0" rank="0" text="" dxfId="0">
      <formula>$K25="Non commencé"</formula>
    </cfRule>
    <cfRule type="expression" priority="194" aboveAverage="0" equalAverage="0" bottom="0" percent="0" rank="0" text="" dxfId="1">
      <formula>$K25="En cours"</formula>
    </cfRule>
    <cfRule type="expression" priority="195" aboveAverage="0" equalAverage="0" bottom="0" percent="0" rank="0" text="" dxfId="2">
      <formula>$K25="Terminé (charge atteinte)"</formula>
    </cfRule>
  </conditionalFormatting>
  <conditionalFormatting sqref="I25">
    <cfRule type="dataBar" priority="196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{58745F3B-E527-48F9-9B9F-65DE937C6E57}</x14:id>
        </ext>
      </extLst>
    </cfRule>
  </conditionalFormatting>
  <conditionalFormatting sqref="H25">
    <cfRule type="expression" priority="197" aboveAverage="0" equalAverage="0" bottom="0" percent="0" rank="0" text="" dxfId="3">
      <formula>AND(ISNUMBER($H25),$H25&lt;0)</formula>
    </cfRule>
  </conditionalFormatting>
  <conditionalFormatting sqref="M25">
    <cfRule type="expression" priority="198" aboveAverage="0" equalAverage="0" bottom="0" percent="0" rank="0" text="" dxfId="79">
      <formula>$M25="Dépassement de charge"</formula>
    </cfRule>
    <cfRule type="expression" priority="199" aboveAverage="0" equalAverage="0" bottom="0" percent="0" rank="0" text="" dxfId="74">
      <formula>AND($M25&lt;&gt;"",$M25&lt;&gt;"Dépassement de charge")</formula>
    </cfRule>
  </conditionalFormatting>
  <conditionalFormatting sqref="A25:N25">
    <cfRule type="expression" priority="200" aboveAverage="0" equalAverage="0" bottom="0" percent="0" rank="0" text="" dxfId="80">
      <formula>$J25="Réalisé"</formula>
    </cfRule>
  </conditionalFormatting>
  <conditionalFormatting sqref="J26">
    <cfRule type="expression" priority="201" aboveAverage="0" equalAverage="0" bottom="0" percent="0" rank="0" text="" dxfId="0">
      <formula>$J26="Non commencé"</formula>
    </cfRule>
    <cfRule type="expression" priority="202" aboveAverage="0" equalAverage="0" bottom="0" percent="0" rank="0" text="" dxfId="1">
      <formula>$J26="En cours"</formula>
    </cfRule>
    <cfRule type="expression" priority="203" aboveAverage="0" equalAverage="0" bottom="0" percent="0" rank="0" text="" dxfId="2">
      <formula>$J26="Réalisé"</formula>
    </cfRule>
  </conditionalFormatting>
  <conditionalFormatting sqref="K26">
    <cfRule type="expression" priority="204" aboveAverage="0" equalAverage="0" bottom="0" percent="0" rank="0" text="" dxfId="0">
      <formula>$K26="Non commencé"</formula>
    </cfRule>
    <cfRule type="expression" priority="205" aboveAverage="0" equalAverage="0" bottom="0" percent="0" rank="0" text="" dxfId="1">
      <formula>$K26="En cours"</formula>
    </cfRule>
    <cfRule type="expression" priority="206" aboveAverage="0" equalAverage="0" bottom="0" percent="0" rank="0" text="" dxfId="2">
      <formula>$K26="Terminé (charge atteinte)"</formula>
    </cfRule>
  </conditionalFormatting>
  <conditionalFormatting sqref="I26">
    <cfRule type="dataBar" priority="207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{6D474EE4-C7E2-4680-B946-52152A67C6DC}</x14:id>
        </ext>
      </extLst>
    </cfRule>
  </conditionalFormatting>
  <conditionalFormatting sqref="H26">
    <cfRule type="expression" priority="208" aboveAverage="0" equalAverage="0" bottom="0" percent="0" rank="0" text="" dxfId="3">
      <formula>AND(ISNUMBER($H26),$H26&lt;0)</formula>
    </cfRule>
  </conditionalFormatting>
  <conditionalFormatting sqref="M26">
    <cfRule type="expression" priority="209" aboveAverage="0" equalAverage="0" bottom="0" percent="0" rank="0" text="" dxfId="79">
      <formula>$M26="Dépassement de charge"</formula>
    </cfRule>
    <cfRule type="expression" priority="210" aboveAverage="0" equalAverage="0" bottom="0" percent="0" rank="0" text="" dxfId="74">
      <formula>AND($M26&lt;&gt;"",$M26&lt;&gt;"Dépassement de charge")</formula>
    </cfRule>
  </conditionalFormatting>
  <conditionalFormatting sqref="A26:N26">
    <cfRule type="expression" priority="211" aboveAverage="0" equalAverage="0" bottom="0" percent="0" rank="0" text="" dxfId="80">
      <formula>$J26="Réalisé"</formula>
    </cfRule>
  </conditionalFormatting>
  <conditionalFormatting sqref="J27">
    <cfRule type="expression" priority="212" aboveAverage="0" equalAverage="0" bottom="0" percent="0" rank="0" text="" dxfId="0">
      <formula>$J27="Non commencé"</formula>
    </cfRule>
    <cfRule type="expression" priority="213" aboveAverage="0" equalAverage="0" bottom="0" percent="0" rank="0" text="" dxfId="1">
      <formula>$J27="En cours"</formula>
    </cfRule>
    <cfRule type="expression" priority="214" aboveAverage="0" equalAverage="0" bottom="0" percent="0" rank="0" text="" dxfId="2">
      <formula>$J27="Réalisé"</formula>
    </cfRule>
  </conditionalFormatting>
  <conditionalFormatting sqref="K27">
    <cfRule type="expression" priority="215" aboveAverage="0" equalAverage="0" bottom="0" percent="0" rank="0" text="" dxfId="0">
      <formula>$K27="Non commencé"</formula>
    </cfRule>
    <cfRule type="expression" priority="216" aboveAverage="0" equalAverage="0" bottom="0" percent="0" rank="0" text="" dxfId="1">
      <formula>$K27="En cours"</formula>
    </cfRule>
    <cfRule type="expression" priority="217" aboveAverage="0" equalAverage="0" bottom="0" percent="0" rank="0" text="" dxfId="2">
      <formula>$K27="Terminé (charge atteinte)"</formula>
    </cfRule>
  </conditionalFormatting>
  <conditionalFormatting sqref="I27">
    <cfRule type="dataBar" priority="218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{8B896157-CF50-4C11-87C4-701F819C72E9}</x14:id>
        </ext>
      </extLst>
    </cfRule>
  </conditionalFormatting>
  <conditionalFormatting sqref="H27">
    <cfRule type="expression" priority="219" aboveAverage="0" equalAverage="0" bottom="0" percent="0" rank="0" text="" dxfId="3">
      <formula>AND(ISNUMBER($H27),$H27&lt;0)</formula>
    </cfRule>
  </conditionalFormatting>
  <conditionalFormatting sqref="M27">
    <cfRule type="expression" priority="220" aboveAverage="0" equalAverage="0" bottom="0" percent="0" rank="0" text="" dxfId="79">
      <formula>$M27="Dépassement de charge"</formula>
    </cfRule>
    <cfRule type="expression" priority="221" aboveAverage="0" equalAverage="0" bottom="0" percent="0" rank="0" text="" dxfId="74">
      <formula>AND($M27&lt;&gt;"",$M27&lt;&gt;"Dépassement de charge")</formula>
    </cfRule>
  </conditionalFormatting>
  <conditionalFormatting sqref="A27:N27">
    <cfRule type="expression" priority="222" aboveAverage="0" equalAverage="0" bottom="0" percent="0" rank="0" text="" dxfId="80">
      <formula>$J27="Réalisé"</formula>
    </cfRule>
  </conditionalFormatting>
  <conditionalFormatting sqref="J28">
    <cfRule type="expression" priority="223" aboveAverage="0" equalAverage="0" bottom="0" percent="0" rank="0" text="" dxfId="0">
      <formula>$J28="Non commencé"</formula>
    </cfRule>
    <cfRule type="expression" priority="224" aboveAverage="0" equalAverage="0" bottom="0" percent="0" rank="0" text="" dxfId="1">
      <formula>$J28="En cours"</formula>
    </cfRule>
    <cfRule type="expression" priority="225" aboveAverage="0" equalAverage="0" bottom="0" percent="0" rank="0" text="" dxfId="2">
      <formula>$J28="Réalisé"</formula>
    </cfRule>
  </conditionalFormatting>
  <conditionalFormatting sqref="K28">
    <cfRule type="expression" priority="226" aboveAverage="0" equalAverage="0" bottom="0" percent="0" rank="0" text="" dxfId="0">
      <formula>$K28="Non commencé"</formula>
    </cfRule>
    <cfRule type="expression" priority="227" aboveAverage="0" equalAverage="0" bottom="0" percent="0" rank="0" text="" dxfId="1">
      <formula>$K28="En cours"</formula>
    </cfRule>
    <cfRule type="expression" priority="228" aboveAverage="0" equalAverage="0" bottom="0" percent="0" rank="0" text="" dxfId="2">
      <formula>$K28="Terminé (charge atteinte)"</formula>
    </cfRule>
  </conditionalFormatting>
  <conditionalFormatting sqref="I28">
    <cfRule type="dataBar" priority="229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{529690BC-2156-45DD-888E-295E22ACF283}</x14:id>
        </ext>
      </extLst>
    </cfRule>
  </conditionalFormatting>
  <conditionalFormatting sqref="H28">
    <cfRule type="expression" priority="230" aboveAverage="0" equalAverage="0" bottom="0" percent="0" rank="0" text="" dxfId="3">
      <formula>AND(ISNUMBER($H28),$H28&lt;0)</formula>
    </cfRule>
  </conditionalFormatting>
  <conditionalFormatting sqref="M28">
    <cfRule type="expression" priority="231" aboveAverage="0" equalAverage="0" bottom="0" percent="0" rank="0" text="" dxfId="79">
      <formula>$M28="Dépassement de charge"</formula>
    </cfRule>
    <cfRule type="expression" priority="232" aboveAverage="0" equalAverage="0" bottom="0" percent="0" rank="0" text="" dxfId="74">
      <formula>AND($M28&lt;&gt;"",$M28&lt;&gt;"Dépassement de charge")</formula>
    </cfRule>
  </conditionalFormatting>
  <conditionalFormatting sqref="A28:N28">
    <cfRule type="expression" priority="233" aboveAverage="0" equalAverage="0" bottom="0" percent="0" rank="0" text="" dxfId="80">
      <formula>$J28="Réalisé"</formula>
    </cfRule>
  </conditionalFormatting>
  <conditionalFormatting sqref="J29">
    <cfRule type="expression" priority="234" aboveAverage="0" equalAverage="0" bottom="0" percent="0" rank="0" text="" dxfId="0">
      <formula>$J29="Non commencé"</formula>
    </cfRule>
    <cfRule type="expression" priority="235" aboveAverage="0" equalAverage="0" bottom="0" percent="0" rank="0" text="" dxfId="1">
      <formula>$J29="En cours"</formula>
    </cfRule>
    <cfRule type="expression" priority="236" aboveAverage="0" equalAverage="0" bottom="0" percent="0" rank="0" text="" dxfId="2">
      <formula>$J29="Réalisé"</formula>
    </cfRule>
  </conditionalFormatting>
  <conditionalFormatting sqref="K29">
    <cfRule type="expression" priority="237" aboveAverage="0" equalAverage="0" bottom="0" percent="0" rank="0" text="" dxfId="0">
      <formula>$K29="Non commencé"</formula>
    </cfRule>
    <cfRule type="expression" priority="238" aboveAverage="0" equalAverage="0" bottom="0" percent="0" rank="0" text="" dxfId="1">
      <formula>$K29="En cours"</formula>
    </cfRule>
    <cfRule type="expression" priority="239" aboveAverage="0" equalAverage="0" bottom="0" percent="0" rank="0" text="" dxfId="2">
      <formula>$K29="Terminé (charge atteinte)"</formula>
    </cfRule>
  </conditionalFormatting>
  <conditionalFormatting sqref="I29">
    <cfRule type="dataBar" priority="240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{B1F6DE33-23D8-4032-AB10-1546EFCC857A}</x14:id>
        </ext>
      </extLst>
    </cfRule>
  </conditionalFormatting>
  <conditionalFormatting sqref="H29">
    <cfRule type="expression" priority="241" aboveAverage="0" equalAverage="0" bottom="0" percent="0" rank="0" text="" dxfId="3">
      <formula>AND(ISNUMBER($H29),$H29&lt;0)</formula>
    </cfRule>
  </conditionalFormatting>
  <conditionalFormatting sqref="M29">
    <cfRule type="expression" priority="242" aboveAverage="0" equalAverage="0" bottom="0" percent="0" rank="0" text="" dxfId="79">
      <formula>$M29="Dépassement de charge"</formula>
    </cfRule>
    <cfRule type="expression" priority="243" aboveAverage="0" equalAverage="0" bottom="0" percent="0" rank="0" text="" dxfId="74">
      <formula>AND($M29&lt;&gt;"",$M29&lt;&gt;"Dépassement de charge")</formula>
    </cfRule>
  </conditionalFormatting>
  <conditionalFormatting sqref="A29:N29">
    <cfRule type="expression" priority="244" aboveAverage="0" equalAverage="0" bottom="0" percent="0" rank="0" text="" dxfId="80">
      <formula>$J29="Réalisé"</formula>
    </cfRule>
  </conditionalFormatting>
  <conditionalFormatting sqref="J30">
    <cfRule type="expression" priority="245" aboveAverage="0" equalAverage="0" bottom="0" percent="0" rank="0" text="" dxfId="0">
      <formula>$J30="Non commencé"</formula>
    </cfRule>
    <cfRule type="expression" priority="246" aboveAverage="0" equalAverage="0" bottom="0" percent="0" rank="0" text="" dxfId="1">
      <formula>$J30="En cours"</formula>
    </cfRule>
    <cfRule type="expression" priority="247" aboveAverage="0" equalAverage="0" bottom="0" percent="0" rank="0" text="" dxfId="2">
      <formula>$J30="Réalisé"</formula>
    </cfRule>
  </conditionalFormatting>
  <conditionalFormatting sqref="K30">
    <cfRule type="expression" priority="248" aboveAverage="0" equalAverage="0" bottom="0" percent="0" rank="0" text="" dxfId="0">
      <formula>$K30="Non commencé"</formula>
    </cfRule>
    <cfRule type="expression" priority="249" aboveAverage="0" equalAverage="0" bottom="0" percent="0" rank="0" text="" dxfId="1">
      <formula>$K30="En cours"</formula>
    </cfRule>
    <cfRule type="expression" priority="250" aboveAverage="0" equalAverage="0" bottom="0" percent="0" rank="0" text="" dxfId="2">
      <formula>$K30="Terminé (charge atteinte)"</formula>
    </cfRule>
  </conditionalFormatting>
  <conditionalFormatting sqref="I30">
    <cfRule type="dataBar" priority="251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{ADD7C414-7FEF-415D-8EEA-F9D5C073E120}</x14:id>
        </ext>
      </extLst>
    </cfRule>
  </conditionalFormatting>
  <conditionalFormatting sqref="H30">
    <cfRule type="expression" priority="252" aboveAverage="0" equalAverage="0" bottom="0" percent="0" rank="0" text="" dxfId="3">
      <formula>AND(ISNUMBER($H30),$H30&lt;0)</formula>
    </cfRule>
  </conditionalFormatting>
  <conditionalFormatting sqref="M30">
    <cfRule type="expression" priority="253" aboveAverage="0" equalAverage="0" bottom="0" percent="0" rank="0" text="" dxfId="79">
      <formula>$M30="Dépassement de charge"</formula>
    </cfRule>
    <cfRule type="expression" priority="254" aboveAverage="0" equalAverage="0" bottom="0" percent="0" rank="0" text="" dxfId="74">
      <formula>AND($M30&lt;&gt;"",$M30&lt;&gt;"Dépassement de charge")</formula>
    </cfRule>
  </conditionalFormatting>
  <conditionalFormatting sqref="A30:N30">
    <cfRule type="expression" priority="255" aboveAverage="0" equalAverage="0" bottom="0" percent="0" rank="0" text="" dxfId="80">
      <formula>$J30="Réalisé"</formula>
    </cfRule>
  </conditionalFormatting>
  <conditionalFormatting sqref="J31">
    <cfRule type="expression" priority="256" aboveAverage="0" equalAverage="0" bottom="0" percent="0" rank="0" text="" dxfId="0">
      <formula>$J31="Non commencé"</formula>
    </cfRule>
    <cfRule type="expression" priority="257" aboveAverage="0" equalAverage="0" bottom="0" percent="0" rank="0" text="" dxfId="1">
      <formula>$J31="En cours"</formula>
    </cfRule>
    <cfRule type="expression" priority="258" aboveAverage="0" equalAverage="0" bottom="0" percent="0" rank="0" text="" dxfId="2">
      <formula>$J31="Réalisé"</formula>
    </cfRule>
  </conditionalFormatting>
  <conditionalFormatting sqref="K31">
    <cfRule type="expression" priority="259" aboveAverage="0" equalAverage="0" bottom="0" percent="0" rank="0" text="" dxfId="0">
      <formula>$K31="Non commencé"</formula>
    </cfRule>
    <cfRule type="expression" priority="260" aboveAverage="0" equalAverage="0" bottom="0" percent="0" rank="0" text="" dxfId="1">
      <formula>$K31="En cours"</formula>
    </cfRule>
    <cfRule type="expression" priority="261" aboveAverage="0" equalAverage="0" bottom="0" percent="0" rank="0" text="" dxfId="2">
      <formula>$K31="Terminé (charge atteinte)"</formula>
    </cfRule>
  </conditionalFormatting>
  <conditionalFormatting sqref="I31">
    <cfRule type="dataBar" priority="262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{CD6EB285-DD8A-4E23-B980-5BF08149255D}</x14:id>
        </ext>
      </extLst>
    </cfRule>
  </conditionalFormatting>
  <conditionalFormatting sqref="H31">
    <cfRule type="expression" priority="263" aboveAverage="0" equalAverage="0" bottom="0" percent="0" rank="0" text="" dxfId="3">
      <formula>AND(ISNUMBER($H31),$H31&lt;0)</formula>
    </cfRule>
  </conditionalFormatting>
  <conditionalFormatting sqref="M31">
    <cfRule type="expression" priority="264" aboveAverage="0" equalAverage="0" bottom="0" percent="0" rank="0" text="" dxfId="79">
      <formula>$M31="Dépassement de charge"</formula>
    </cfRule>
    <cfRule type="expression" priority="265" aboveAverage="0" equalAverage="0" bottom="0" percent="0" rank="0" text="" dxfId="74">
      <formula>AND($M31&lt;&gt;"",$M31&lt;&gt;"Dépassement de charge")</formula>
    </cfRule>
  </conditionalFormatting>
  <conditionalFormatting sqref="A31:N31">
    <cfRule type="expression" priority="266" aboveAverage="0" equalAverage="0" bottom="0" percent="0" rank="0" text="" dxfId="80">
      <formula>$J31="Réalisé"</formula>
    </cfRule>
  </conditionalFormatting>
  <conditionalFormatting sqref="J32">
    <cfRule type="expression" priority="267" aboveAverage="0" equalAverage="0" bottom="0" percent="0" rank="0" text="" dxfId="0">
      <formula>$J32="Non commencé"</formula>
    </cfRule>
    <cfRule type="expression" priority="268" aboveAverage="0" equalAverage="0" bottom="0" percent="0" rank="0" text="" dxfId="1">
      <formula>$J32="En cours"</formula>
    </cfRule>
    <cfRule type="expression" priority="269" aboveAverage="0" equalAverage="0" bottom="0" percent="0" rank="0" text="" dxfId="2">
      <formula>$J32="Réalisé"</formula>
    </cfRule>
  </conditionalFormatting>
  <conditionalFormatting sqref="K32">
    <cfRule type="expression" priority="270" aboveAverage="0" equalAverage="0" bottom="0" percent="0" rank="0" text="" dxfId="0">
      <formula>$K32="Non commencé"</formula>
    </cfRule>
    <cfRule type="expression" priority="271" aboveAverage="0" equalAverage="0" bottom="0" percent="0" rank="0" text="" dxfId="1">
      <formula>$K32="En cours"</formula>
    </cfRule>
    <cfRule type="expression" priority="272" aboveAverage="0" equalAverage="0" bottom="0" percent="0" rank="0" text="" dxfId="2">
      <formula>$K32="Terminé (charge atteinte)"</formula>
    </cfRule>
  </conditionalFormatting>
  <conditionalFormatting sqref="I32">
    <cfRule type="dataBar" priority="273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{9550D766-7C47-4AAE-89FF-D088C1DBA01F}</x14:id>
        </ext>
      </extLst>
    </cfRule>
  </conditionalFormatting>
  <conditionalFormatting sqref="H32">
    <cfRule type="expression" priority="274" aboveAverage="0" equalAverage="0" bottom="0" percent="0" rank="0" text="" dxfId="3">
      <formula>AND(ISNUMBER($H32),$H32&lt;0)</formula>
    </cfRule>
  </conditionalFormatting>
  <conditionalFormatting sqref="M32">
    <cfRule type="expression" priority="275" aboveAverage="0" equalAverage="0" bottom="0" percent="0" rank="0" text="" dxfId="79">
      <formula>$M32="Dépassement de charge"</formula>
    </cfRule>
    <cfRule type="expression" priority="276" aboveAverage="0" equalAverage="0" bottom="0" percent="0" rank="0" text="" dxfId="74">
      <formula>AND($M32&lt;&gt;"",$M32&lt;&gt;"Dépassement de charge")</formula>
    </cfRule>
  </conditionalFormatting>
  <conditionalFormatting sqref="A32:N32">
    <cfRule type="expression" priority="277" aboveAverage="0" equalAverage="0" bottom="0" percent="0" rank="0" text="" dxfId="80">
      <formula>$J32="Réalisé"</formula>
    </cfRule>
  </conditionalFormatting>
  <conditionalFormatting sqref="J33">
    <cfRule type="expression" priority="278" aboveAverage="0" equalAverage="0" bottom="0" percent="0" rank="0" text="" dxfId="0">
      <formula>$J33="Non commencé"</formula>
    </cfRule>
    <cfRule type="expression" priority="279" aboveAverage="0" equalAverage="0" bottom="0" percent="0" rank="0" text="" dxfId="1">
      <formula>$J33="En cours"</formula>
    </cfRule>
    <cfRule type="expression" priority="280" aboveAverage="0" equalAverage="0" bottom="0" percent="0" rank="0" text="" dxfId="2">
      <formula>$J33="Réalisé"</formula>
    </cfRule>
  </conditionalFormatting>
  <conditionalFormatting sqref="K33">
    <cfRule type="expression" priority="281" aboveAverage="0" equalAverage="0" bottom="0" percent="0" rank="0" text="" dxfId="0">
      <formula>$K33="Non commencé"</formula>
    </cfRule>
    <cfRule type="expression" priority="282" aboveAverage="0" equalAverage="0" bottom="0" percent="0" rank="0" text="" dxfId="1">
      <formula>$K33="En cours"</formula>
    </cfRule>
    <cfRule type="expression" priority="283" aboveAverage="0" equalAverage="0" bottom="0" percent="0" rank="0" text="" dxfId="2">
      <formula>$K33="Terminé (charge atteinte)"</formula>
    </cfRule>
  </conditionalFormatting>
  <conditionalFormatting sqref="I33">
    <cfRule type="dataBar" priority="284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{623AE022-42A0-4630-99F5-10CFF8FCD1E5}</x14:id>
        </ext>
      </extLst>
    </cfRule>
  </conditionalFormatting>
  <conditionalFormatting sqref="H33">
    <cfRule type="expression" priority="285" aboveAverage="0" equalAverage="0" bottom="0" percent="0" rank="0" text="" dxfId="3">
      <formula>AND(ISNUMBER($H33),$H33&lt;0)</formula>
    </cfRule>
  </conditionalFormatting>
  <conditionalFormatting sqref="M33">
    <cfRule type="expression" priority="286" aboveAverage="0" equalAverage="0" bottom="0" percent="0" rank="0" text="" dxfId="79">
      <formula>$M33="Dépassement de charge"</formula>
    </cfRule>
    <cfRule type="expression" priority="287" aboveAverage="0" equalAverage="0" bottom="0" percent="0" rank="0" text="" dxfId="74">
      <formula>AND($M33&lt;&gt;"",$M33&lt;&gt;"Dépassement de charge")</formula>
    </cfRule>
  </conditionalFormatting>
  <conditionalFormatting sqref="A33:N33">
    <cfRule type="expression" priority="288" aboveAverage="0" equalAverage="0" bottom="0" percent="0" rank="0" text="" dxfId="80">
      <formula>$J33="Réalisé"</formula>
    </cfRule>
  </conditionalFormatting>
  <conditionalFormatting sqref="J34">
    <cfRule type="expression" priority="289" aboveAverage="0" equalAverage="0" bottom="0" percent="0" rank="0" text="" dxfId="0">
      <formula>$J34="Non commencé"</formula>
    </cfRule>
    <cfRule type="expression" priority="290" aboveAverage="0" equalAverage="0" bottom="0" percent="0" rank="0" text="" dxfId="1">
      <formula>$J34="En cours"</formula>
    </cfRule>
    <cfRule type="expression" priority="291" aboveAverage="0" equalAverage="0" bottom="0" percent="0" rank="0" text="" dxfId="2">
      <formula>$J34="Réalisé"</formula>
    </cfRule>
  </conditionalFormatting>
  <conditionalFormatting sqref="K34">
    <cfRule type="expression" priority="292" aboveAverage="0" equalAverage="0" bottom="0" percent="0" rank="0" text="" dxfId="0">
      <formula>$K34="Non commencé"</formula>
    </cfRule>
    <cfRule type="expression" priority="293" aboveAverage="0" equalAverage="0" bottom="0" percent="0" rank="0" text="" dxfId="1">
      <formula>$K34="En cours"</formula>
    </cfRule>
    <cfRule type="expression" priority="294" aboveAverage="0" equalAverage="0" bottom="0" percent="0" rank="0" text="" dxfId="2">
      <formula>$K34="Terminé (charge atteinte)"</formula>
    </cfRule>
  </conditionalFormatting>
  <conditionalFormatting sqref="I34">
    <cfRule type="dataBar" priority="295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{70E8CB63-39D7-4130-BDB3-D9EA30A930F0}</x14:id>
        </ext>
      </extLst>
    </cfRule>
  </conditionalFormatting>
  <conditionalFormatting sqref="H34">
    <cfRule type="expression" priority="296" aboveAverage="0" equalAverage="0" bottom="0" percent="0" rank="0" text="" dxfId="3">
      <formula>AND(ISNUMBER($H34),$H34&lt;0)</formula>
    </cfRule>
  </conditionalFormatting>
  <conditionalFormatting sqref="M34">
    <cfRule type="expression" priority="297" aboveAverage="0" equalAverage="0" bottom="0" percent="0" rank="0" text="" dxfId="79">
      <formula>$M34="Dépassement de charge"</formula>
    </cfRule>
    <cfRule type="expression" priority="298" aboveAverage="0" equalAverage="0" bottom="0" percent="0" rank="0" text="" dxfId="74">
      <formula>AND($M34&lt;&gt;"",$M34&lt;&gt;"Dépassement de charge")</formula>
    </cfRule>
  </conditionalFormatting>
  <conditionalFormatting sqref="A34:N34">
    <cfRule type="expression" priority="299" aboveAverage="0" equalAverage="0" bottom="0" percent="0" rank="0" text="" dxfId="80">
      <formula>$J34="Réalisé"</formula>
    </cfRule>
  </conditionalFormatting>
  <conditionalFormatting sqref="J35">
    <cfRule type="expression" priority="300" aboveAverage="0" equalAverage="0" bottom="0" percent="0" rank="0" text="" dxfId="0">
      <formula>$J35="Non commencé"</formula>
    </cfRule>
    <cfRule type="expression" priority="301" aboveAverage="0" equalAverage="0" bottom="0" percent="0" rank="0" text="" dxfId="1">
      <formula>$J35="En cours"</formula>
    </cfRule>
    <cfRule type="expression" priority="302" aboveAverage="0" equalAverage="0" bottom="0" percent="0" rank="0" text="" dxfId="2">
      <formula>$J35="Réalisé"</formula>
    </cfRule>
  </conditionalFormatting>
  <conditionalFormatting sqref="K35">
    <cfRule type="expression" priority="303" aboveAverage="0" equalAverage="0" bottom="0" percent="0" rank="0" text="" dxfId="0">
      <formula>$K35="Non commencé"</formula>
    </cfRule>
    <cfRule type="expression" priority="304" aboveAverage="0" equalAverage="0" bottom="0" percent="0" rank="0" text="" dxfId="1">
      <formula>$K35="En cours"</formula>
    </cfRule>
    <cfRule type="expression" priority="305" aboveAverage="0" equalAverage="0" bottom="0" percent="0" rank="0" text="" dxfId="2">
      <formula>$K35="Terminé (charge atteinte)"</formula>
    </cfRule>
  </conditionalFormatting>
  <conditionalFormatting sqref="I35">
    <cfRule type="dataBar" priority="306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{7115F5C3-79E1-441E-A441-C6C02BF2BCB2}</x14:id>
        </ext>
      </extLst>
    </cfRule>
  </conditionalFormatting>
  <conditionalFormatting sqref="H35">
    <cfRule type="expression" priority="307" aboveAverage="0" equalAverage="0" bottom="0" percent="0" rank="0" text="" dxfId="3">
      <formula>AND(ISNUMBER($H35),$H35&lt;0)</formula>
    </cfRule>
  </conditionalFormatting>
  <conditionalFormatting sqref="M35">
    <cfRule type="expression" priority="308" aboveAverage="0" equalAverage="0" bottom="0" percent="0" rank="0" text="" dxfId="79">
      <formula>$M35="Dépassement de charge"</formula>
    </cfRule>
    <cfRule type="expression" priority="309" aboveAverage="0" equalAverage="0" bottom="0" percent="0" rank="0" text="" dxfId="74">
      <formula>AND($M35&lt;&gt;"",$M35&lt;&gt;"Dépassement de charge")</formula>
    </cfRule>
  </conditionalFormatting>
  <conditionalFormatting sqref="A35:N35">
    <cfRule type="expression" priority="310" aboveAverage="0" equalAverage="0" bottom="0" percent="0" rank="0" text="" dxfId="80">
      <formula>$J35="Réalisé"</formula>
    </cfRule>
  </conditionalFormatting>
  <conditionalFormatting sqref="J36">
    <cfRule type="expression" priority="311" aboveAverage="0" equalAverage="0" bottom="0" percent="0" rank="0" text="" dxfId="0">
      <formula>$J36="Non commencé"</formula>
    </cfRule>
    <cfRule type="expression" priority="312" aboveAverage="0" equalAverage="0" bottom="0" percent="0" rank="0" text="" dxfId="1">
      <formula>$J36="En cours"</formula>
    </cfRule>
    <cfRule type="expression" priority="313" aboveAverage="0" equalAverage="0" bottom="0" percent="0" rank="0" text="" dxfId="2">
      <formula>$J36="Réalisé"</formula>
    </cfRule>
  </conditionalFormatting>
  <conditionalFormatting sqref="K36">
    <cfRule type="expression" priority="314" aboveAverage="0" equalAverage="0" bottom="0" percent="0" rank="0" text="" dxfId="0">
      <formula>$K36="Non commencé"</formula>
    </cfRule>
    <cfRule type="expression" priority="315" aboveAverage="0" equalAverage="0" bottom="0" percent="0" rank="0" text="" dxfId="1">
      <formula>$K36="En cours"</formula>
    </cfRule>
    <cfRule type="expression" priority="316" aboveAverage="0" equalAverage="0" bottom="0" percent="0" rank="0" text="" dxfId="2">
      <formula>$K36="Terminé (charge atteinte)"</formula>
    </cfRule>
  </conditionalFormatting>
  <conditionalFormatting sqref="I36">
    <cfRule type="dataBar" priority="317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{37126B9E-16A0-4EAC-B6C3-C3CDF53D7CD1}</x14:id>
        </ext>
      </extLst>
    </cfRule>
  </conditionalFormatting>
  <conditionalFormatting sqref="H36">
    <cfRule type="expression" priority="318" aboveAverage="0" equalAverage="0" bottom="0" percent="0" rank="0" text="" dxfId="3">
      <formula>AND(ISNUMBER($H36),$H36&lt;0)</formula>
    </cfRule>
  </conditionalFormatting>
  <conditionalFormatting sqref="M36">
    <cfRule type="expression" priority="319" aboveAverage="0" equalAverage="0" bottom="0" percent="0" rank="0" text="" dxfId="79">
      <formula>$M36="Dépassement de charge"</formula>
    </cfRule>
    <cfRule type="expression" priority="320" aboveAverage="0" equalAverage="0" bottom="0" percent="0" rank="0" text="" dxfId="74">
      <formula>AND($M36&lt;&gt;"",$M36&lt;&gt;"Dépassement de charge")</formula>
    </cfRule>
  </conditionalFormatting>
  <conditionalFormatting sqref="A36:N36">
    <cfRule type="expression" priority="321" aboveAverage="0" equalAverage="0" bottom="0" percent="0" rank="0" text="" dxfId="80">
      <formula>$J36="Réalisé"</formula>
    </cfRule>
  </conditionalFormatting>
  <conditionalFormatting sqref="J37">
    <cfRule type="expression" priority="322" aboveAverage="0" equalAverage="0" bottom="0" percent="0" rank="0" text="" dxfId="0">
      <formula>$J37="Non commencé"</formula>
    </cfRule>
    <cfRule type="expression" priority="323" aboveAverage="0" equalAverage="0" bottom="0" percent="0" rank="0" text="" dxfId="1">
      <formula>$J37="En cours"</formula>
    </cfRule>
    <cfRule type="expression" priority="324" aboveAverage="0" equalAverage="0" bottom="0" percent="0" rank="0" text="" dxfId="2">
      <formula>$J37="Réalisé"</formula>
    </cfRule>
  </conditionalFormatting>
  <conditionalFormatting sqref="K37">
    <cfRule type="expression" priority="325" aboveAverage="0" equalAverage="0" bottom="0" percent="0" rank="0" text="" dxfId="0">
      <formula>$K37="Non commencé"</formula>
    </cfRule>
    <cfRule type="expression" priority="326" aboveAverage="0" equalAverage="0" bottom="0" percent="0" rank="0" text="" dxfId="1">
      <formula>$K37="En cours"</formula>
    </cfRule>
    <cfRule type="expression" priority="327" aboveAverage="0" equalAverage="0" bottom="0" percent="0" rank="0" text="" dxfId="2">
      <formula>$K37="Terminé (charge atteinte)"</formula>
    </cfRule>
  </conditionalFormatting>
  <conditionalFormatting sqref="I37">
    <cfRule type="dataBar" priority="328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{C5F820BF-BB50-4BAF-A022-66DBAFC78E4F}</x14:id>
        </ext>
      </extLst>
    </cfRule>
  </conditionalFormatting>
  <conditionalFormatting sqref="H37">
    <cfRule type="expression" priority="329" aboveAverage="0" equalAverage="0" bottom="0" percent="0" rank="0" text="" dxfId="3">
      <formula>AND(ISNUMBER($H37),$H37&lt;0)</formula>
    </cfRule>
  </conditionalFormatting>
  <conditionalFormatting sqref="M37">
    <cfRule type="expression" priority="330" aboveAverage="0" equalAverage="0" bottom="0" percent="0" rank="0" text="" dxfId="79">
      <formula>$M37="Dépassement de charge"</formula>
    </cfRule>
    <cfRule type="expression" priority="331" aboveAverage="0" equalAverage="0" bottom="0" percent="0" rank="0" text="" dxfId="74">
      <formula>AND($M37&lt;&gt;"",$M37&lt;&gt;"Dépassement de charge")</formula>
    </cfRule>
  </conditionalFormatting>
  <conditionalFormatting sqref="A37:N37">
    <cfRule type="expression" priority="332" aboveAverage="0" equalAverage="0" bottom="0" percent="0" rank="0" text="" dxfId="80">
      <formula>$J37="Réalisé"</formula>
    </cfRule>
  </conditionalFormatting>
  <conditionalFormatting sqref="B43">
    <cfRule type="expression" priority="333" aboveAverage="0" equalAverage="0" bottom="0" percent="0" rank="0" text="" dxfId="73">
      <formula>$B43="Confirmé"</formula>
    </cfRule>
    <cfRule type="expression" priority="334" aboveAverage="0" equalAverage="0" bottom="0" percent="0" rank="0" text="" dxfId="74">
      <formula>$B43="Pressenti"</formula>
    </cfRule>
    <cfRule type="expression" priority="335" aboveAverage="0" equalAverage="0" bottom="0" percent="0" rank="0" text="" dxfId="0">
      <formula>$B43="Option"</formula>
    </cfRule>
  </conditionalFormatting>
  <conditionalFormatting sqref="F43">
    <cfRule type="expression" priority="336" aboveAverage="0" equalAverage="0" bottom="0" percent="0" rank="0" text="" dxfId="3">
      <formula>AND(ISNUMBER($F43),$F43&lt;0)</formula>
    </cfRule>
  </conditionalFormatting>
  <conditionalFormatting sqref="G43">
    <cfRule type="expression" priority="337" aboveAverage="0" equalAverage="0" bottom="0" percent="0" rank="0" text="" dxfId="3">
      <formula>AND(ISNUMBER($G43),$G43&gt;1)</formula>
    </cfRule>
    <cfRule type="expression" priority="338" aboveAverage="0" equalAverage="0" bottom="0" percent="0" rank="0" text="" dxfId="74">
      <formula>AND(ISNUMBER($G43),$G43&gt;0.8,$G43&lt;=1)</formula>
    </cfRule>
  </conditionalFormatting>
  <conditionalFormatting sqref="J43">
    <cfRule type="expression" priority="339" aboveAverage="0" equalAverage="0" bottom="0" percent="0" rank="0" text="" dxfId="79">
      <formula>$J43="Budget dépassé"</formula>
    </cfRule>
    <cfRule type="expression" priority="340" aboveAverage="0" equalAverage="0" bottom="0" percent="0" rank="0" text="" dxfId="74">
      <formula>AND($J43&lt;&gt;"",$J43&lt;&gt;"Budget dépassé")</formula>
    </cfRule>
  </conditionalFormatting>
  <conditionalFormatting sqref="B44">
    <cfRule type="expression" priority="341" aboveAverage="0" equalAverage="0" bottom="0" percent="0" rank="0" text="" dxfId="73">
      <formula>$B44="Confirmé"</formula>
    </cfRule>
    <cfRule type="expression" priority="342" aboveAverage="0" equalAverage="0" bottom="0" percent="0" rank="0" text="" dxfId="74">
      <formula>$B44="Pressenti"</formula>
    </cfRule>
    <cfRule type="expression" priority="343" aboveAverage="0" equalAverage="0" bottom="0" percent="0" rank="0" text="" dxfId="0">
      <formula>$B44="Option"</formula>
    </cfRule>
  </conditionalFormatting>
  <conditionalFormatting sqref="F44">
    <cfRule type="expression" priority="344" aboveAverage="0" equalAverage="0" bottom="0" percent="0" rank="0" text="" dxfId="3">
      <formula>AND(ISNUMBER($F44),$F44&lt;0)</formula>
    </cfRule>
  </conditionalFormatting>
  <conditionalFormatting sqref="G44">
    <cfRule type="expression" priority="345" aboveAverage="0" equalAverage="0" bottom="0" percent="0" rank="0" text="" dxfId="3">
      <formula>AND(ISNUMBER($G44),$G44&gt;1)</formula>
    </cfRule>
    <cfRule type="expression" priority="346" aboveAverage="0" equalAverage="0" bottom="0" percent="0" rank="0" text="" dxfId="74">
      <formula>AND(ISNUMBER($G44),$G44&gt;0.8,$G44&lt;=1)</formula>
    </cfRule>
  </conditionalFormatting>
  <conditionalFormatting sqref="J44">
    <cfRule type="expression" priority="347" aboveAverage="0" equalAverage="0" bottom="0" percent="0" rank="0" text="" dxfId="79">
      <formula>$J44="Budget dépassé"</formula>
    </cfRule>
    <cfRule type="expression" priority="348" aboveAverage="0" equalAverage="0" bottom="0" percent="0" rank="0" text="" dxfId="74">
      <formula>AND($J44&lt;&gt;"",$J44&lt;&gt;"Budget dépassé")</formula>
    </cfRule>
  </conditionalFormatting>
  <conditionalFormatting sqref="B45">
    <cfRule type="expression" priority="349" aboveAverage="0" equalAverage="0" bottom="0" percent="0" rank="0" text="" dxfId="73">
      <formula>$B45="Confirmé"</formula>
    </cfRule>
    <cfRule type="expression" priority="350" aboveAverage="0" equalAverage="0" bottom="0" percent="0" rank="0" text="" dxfId="74">
      <formula>$B45="Pressenti"</formula>
    </cfRule>
    <cfRule type="expression" priority="351" aboveAverage="0" equalAverage="0" bottom="0" percent="0" rank="0" text="" dxfId="0">
      <formula>$B45="Option"</formula>
    </cfRule>
  </conditionalFormatting>
  <conditionalFormatting sqref="F45">
    <cfRule type="expression" priority="352" aboveAverage="0" equalAverage="0" bottom="0" percent="0" rank="0" text="" dxfId="3">
      <formula>AND(ISNUMBER($F45),$F45&lt;0)</formula>
    </cfRule>
  </conditionalFormatting>
  <conditionalFormatting sqref="G45">
    <cfRule type="expression" priority="353" aboveAverage="0" equalAverage="0" bottom="0" percent="0" rank="0" text="" dxfId="3">
      <formula>AND(ISNUMBER($G45),$G45&gt;1)</formula>
    </cfRule>
    <cfRule type="expression" priority="354" aboveAverage="0" equalAverage="0" bottom="0" percent="0" rank="0" text="" dxfId="74">
      <formula>AND(ISNUMBER($G45),$G45&gt;0.8,$G45&lt;=1)</formula>
    </cfRule>
  </conditionalFormatting>
  <conditionalFormatting sqref="J45">
    <cfRule type="expression" priority="355" aboveAverage="0" equalAverage="0" bottom="0" percent="0" rank="0" text="" dxfId="79">
      <formula>$J45="Budget dépassé"</formula>
    </cfRule>
    <cfRule type="expression" priority="356" aboveAverage="0" equalAverage="0" bottom="0" percent="0" rank="0" text="" dxfId="74">
      <formula>AND($J45&lt;&gt;"",$J45&lt;&gt;"Budget dépassé")</formula>
    </cfRule>
  </conditionalFormatting>
  <conditionalFormatting sqref="B46">
    <cfRule type="expression" priority="357" aboveAverage="0" equalAverage="0" bottom="0" percent="0" rank="0" text="" dxfId="73">
      <formula>$B46="Confirmé"</formula>
    </cfRule>
    <cfRule type="expression" priority="358" aboveAverage="0" equalAverage="0" bottom="0" percent="0" rank="0" text="" dxfId="74">
      <formula>$B46="Pressenti"</formula>
    </cfRule>
    <cfRule type="expression" priority="359" aboveAverage="0" equalAverage="0" bottom="0" percent="0" rank="0" text="" dxfId="0">
      <formula>$B46="Option"</formula>
    </cfRule>
  </conditionalFormatting>
  <conditionalFormatting sqref="F46">
    <cfRule type="expression" priority="360" aboveAverage="0" equalAverage="0" bottom="0" percent="0" rank="0" text="" dxfId="3">
      <formula>AND(ISNUMBER($F46),$F46&lt;0)</formula>
    </cfRule>
  </conditionalFormatting>
  <conditionalFormatting sqref="G46">
    <cfRule type="expression" priority="361" aboveAverage="0" equalAverage="0" bottom="0" percent="0" rank="0" text="" dxfId="3">
      <formula>AND(ISNUMBER($G46),$G46&gt;1)</formula>
    </cfRule>
    <cfRule type="expression" priority="362" aboveAverage="0" equalAverage="0" bottom="0" percent="0" rank="0" text="" dxfId="74">
      <formula>AND(ISNUMBER($G46),$G46&gt;0.8,$G46&lt;=1)</formula>
    </cfRule>
  </conditionalFormatting>
  <conditionalFormatting sqref="J46">
    <cfRule type="expression" priority="363" aboveAverage="0" equalAverage="0" bottom="0" percent="0" rank="0" text="" dxfId="79">
      <formula>$J46="Budget dépassé"</formula>
    </cfRule>
    <cfRule type="expression" priority="364" aboveAverage="0" equalAverage="0" bottom="0" percent="0" rank="0" text="" dxfId="74">
      <formula>AND($J46&lt;&gt;"",$J46&lt;&gt;"Budget dépassé")</formula>
    </cfRule>
  </conditionalFormatting>
  <conditionalFormatting sqref="B47">
    <cfRule type="expression" priority="365" aboveAverage="0" equalAverage="0" bottom="0" percent="0" rank="0" text="" dxfId="73">
      <formula>$B47="Confirmé"</formula>
    </cfRule>
    <cfRule type="expression" priority="366" aboveAverage="0" equalAverage="0" bottom="0" percent="0" rank="0" text="" dxfId="74">
      <formula>$B47="Pressenti"</formula>
    </cfRule>
    <cfRule type="expression" priority="367" aboveAverage="0" equalAverage="0" bottom="0" percent="0" rank="0" text="" dxfId="0">
      <formula>$B47="Option"</formula>
    </cfRule>
  </conditionalFormatting>
  <conditionalFormatting sqref="F47">
    <cfRule type="expression" priority="368" aboveAverage="0" equalAverage="0" bottom="0" percent="0" rank="0" text="" dxfId="3">
      <formula>AND(ISNUMBER($F47),$F47&lt;0)</formula>
    </cfRule>
  </conditionalFormatting>
  <conditionalFormatting sqref="G47">
    <cfRule type="expression" priority="369" aboveAverage="0" equalAverage="0" bottom="0" percent="0" rank="0" text="" dxfId="3">
      <formula>AND(ISNUMBER($G47),$G47&gt;1)</formula>
    </cfRule>
    <cfRule type="expression" priority="370" aboveAverage="0" equalAverage="0" bottom="0" percent="0" rank="0" text="" dxfId="74">
      <formula>AND(ISNUMBER($G47),$G47&gt;0.8,$G47&lt;=1)</formula>
    </cfRule>
  </conditionalFormatting>
  <conditionalFormatting sqref="J47">
    <cfRule type="expression" priority="371" aboveAverage="0" equalAverage="0" bottom="0" percent="0" rank="0" text="" dxfId="79">
      <formula>$J47="Budget dépassé"</formula>
    </cfRule>
    <cfRule type="expression" priority="372" aboveAverage="0" equalAverage="0" bottom="0" percent="0" rank="0" text="" dxfId="74">
      <formula>AND($J47&lt;&gt;"",$J47&lt;&gt;"Budget dépassé")</formula>
    </cfRule>
  </conditionalFormatting>
  <conditionalFormatting sqref="B48">
    <cfRule type="expression" priority="373" aboveAverage="0" equalAverage="0" bottom="0" percent="0" rank="0" text="" dxfId="73">
      <formula>$B48="Confirmé"</formula>
    </cfRule>
    <cfRule type="expression" priority="374" aboveAverage="0" equalAverage="0" bottom="0" percent="0" rank="0" text="" dxfId="74">
      <formula>$B48="Pressenti"</formula>
    </cfRule>
    <cfRule type="expression" priority="375" aboveAverage="0" equalAverage="0" bottom="0" percent="0" rank="0" text="" dxfId="0">
      <formula>$B48="Option"</formula>
    </cfRule>
  </conditionalFormatting>
  <conditionalFormatting sqref="F48">
    <cfRule type="expression" priority="376" aboveAverage="0" equalAverage="0" bottom="0" percent="0" rank="0" text="" dxfId="3">
      <formula>AND(ISNUMBER($F48),$F48&lt;0)</formula>
    </cfRule>
  </conditionalFormatting>
  <conditionalFormatting sqref="G48">
    <cfRule type="expression" priority="377" aboveAverage="0" equalAverage="0" bottom="0" percent="0" rank="0" text="" dxfId="3">
      <formula>AND(ISNUMBER($G48),$G48&gt;1)</formula>
    </cfRule>
    <cfRule type="expression" priority="378" aboveAverage="0" equalAverage="0" bottom="0" percent="0" rank="0" text="" dxfId="74">
      <formula>AND(ISNUMBER($G48),$G48&gt;0.8,$G48&lt;=1)</formula>
    </cfRule>
  </conditionalFormatting>
  <conditionalFormatting sqref="J48">
    <cfRule type="expression" priority="379" aboveAverage="0" equalAverage="0" bottom="0" percent="0" rank="0" text="" dxfId="79">
      <formula>$J48="Budget dépassé"</formula>
    </cfRule>
    <cfRule type="expression" priority="380" aboveAverage="0" equalAverage="0" bottom="0" percent="0" rank="0" text="" dxfId="74">
      <formula>AND($J48&lt;&gt;"",$J48&lt;&gt;"Budget dépassé")</formula>
    </cfRule>
  </conditionalFormatting>
  <conditionalFormatting sqref="B49">
    <cfRule type="expression" priority="381" aboveAverage="0" equalAverage="0" bottom="0" percent="0" rank="0" text="" dxfId="73">
      <formula>$B49="Confirmé"</formula>
    </cfRule>
    <cfRule type="expression" priority="382" aboveAverage="0" equalAverage="0" bottom="0" percent="0" rank="0" text="" dxfId="74">
      <formula>$B49="Pressenti"</formula>
    </cfRule>
    <cfRule type="expression" priority="383" aboveAverage="0" equalAverage="0" bottom="0" percent="0" rank="0" text="" dxfId="0">
      <formula>$B49="Option"</formula>
    </cfRule>
  </conditionalFormatting>
  <conditionalFormatting sqref="F49">
    <cfRule type="expression" priority="384" aboveAverage="0" equalAverage="0" bottom="0" percent="0" rank="0" text="" dxfId="3">
      <formula>AND(ISNUMBER($F49),$F49&lt;0)</formula>
    </cfRule>
  </conditionalFormatting>
  <conditionalFormatting sqref="G49">
    <cfRule type="expression" priority="385" aboveAverage="0" equalAverage="0" bottom="0" percent="0" rank="0" text="" dxfId="3">
      <formula>AND(ISNUMBER($G49),$G49&gt;1)</formula>
    </cfRule>
    <cfRule type="expression" priority="386" aboveAverage="0" equalAverage="0" bottom="0" percent="0" rank="0" text="" dxfId="74">
      <formula>AND(ISNUMBER($G49),$G49&gt;0.8,$G49&lt;=1)</formula>
    </cfRule>
  </conditionalFormatting>
  <conditionalFormatting sqref="J49">
    <cfRule type="expression" priority="387" aboveAverage="0" equalAverage="0" bottom="0" percent="0" rank="0" text="" dxfId="79">
      <formula>$J49="Budget dépassé"</formula>
    </cfRule>
    <cfRule type="expression" priority="388" aboveAverage="0" equalAverage="0" bottom="0" percent="0" rank="0" text="" dxfId="74">
      <formula>AND($J49&lt;&gt;"",$J49&lt;&gt;"Budget dépassé")</formula>
    </cfRule>
  </conditionalFormatting>
  <conditionalFormatting sqref="B50">
    <cfRule type="expression" priority="389" aboveAverage="0" equalAverage="0" bottom="0" percent="0" rank="0" text="" dxfId="73">
      <formula>$B50="Confirmé"</formula>
    </cfRule>
    <cfRule type="expression" priority="390" aboveAverage="0" equalAverage="0" bottom="0" percent="0" rank="0" text="" dxfId="74">
      <formula>$B50="Pressenti"</formula>
    </cfRule>
    <cfRule type="expression" priority="391" aboveAverage="0" equalAverage="0" bottom="0" percent="0" rank="0" text="" dxfId="0">
      <formula>$B50="Option"</formula>
    </cfRule>
  </conditionalFormatting>
  <conditionalFormatting sqref="F50">
    <cfRule type="expression" priority="392" aboveAverage="0" equalAverage="0" bottom="0" percent="0" rank="0" text="" dxfId="3">
      <formula>AND(ISNUMBER($F50),$F50&lt;0)</formula>
    </cfRule>
  </conditionalFormatting>
  <conditionalFormatting sqref="G50">
    <cfRule type="expression" priority="393" aboveAverage="0" equalAverage="0" bottom="0" percent="0" rank="0" text="" dxfId="3">
      <formula>AND(ISNUMBER($G50),$G50&gt;1)</formula>
    </cfRule>
    <cfRule type="expression" priority="394" aboveAverage="0" equalAverage="0" bottom="0" percent="0" rank="0" text="" dxfId="74">
      <formula>AND(ISNUMBER($G50),$G50&gt;0.8,$G50&lt;=1)</formula>
    </cfRule>
  </conditionalFormatting>
  <conditionalFormatting sqref="J50">
    <cfRule type="expression" priority="395" aboveAverage="0" equalAverage="0" bottom="0" percent="0" rank="0" text="" dxfId="79">
      <formula>$J50="Budget dépassé"</formula>
    </cfRule>
    <cfRule type="expression" priority="396" aboveAverage="0" equalAverage="0" bottom="0" percent="0" rank="0" text="" dxfId="74">
      <formula>AND($J50&lt;&gt;"",$J50&lt;&gt;"Budget dépassé")</formula>
    </cfRule>
  </conditionalFormatting>
  <conditionalFormatting sqref="B51">
    <cfRule type="expression" priority="397" aboveAverage="0" equalAverage="0" bottom="0" percent="0" rank="0" text="" dxfId="73">
      <formula>$B51="Confirmé"</formula>
    </cfRule>
    <cfRule type="expression" priority="398" aboveAverage="0" equalAverage="0" bottom="0" percent="0" rank="0" text="" dxfId="74">
      <formula>$B51="Pressenti"</formula>
    </cfRule>
    <cfRule type="expression" priority="399" aboveAverage="0" equalAverage="0" bottom="0" percent="0" rank="0" text="" dxfId="0">
      <formula>$B51="Option"</formula>
    </cfRule>
  </conditionalFormatting>
  <conditionalFormatting sqref="F51">
    <cfRule type="expression" priority="400" aboveAverage="0" equalAverage="0" bottom="0" percent="0" rank="0" text="" dxfId="3">
      <formula>AND(ISNUMBER($F51),$F51&lt;0)</formula>
    </cfRule>
  </conditionalFormatting>
  <conditionalFormatting sqref="G51">
    <cfRule type="expression" priority="401" aboveAverage="0" equalAverage="0" bottom="0" percent="0" rank="0" text="" dxfId="3">
      <formula>AND(ISNUMBER($G51),$G51&gt;1)</formula>
    </cfRule>
    <cfRule type="expression" priority="402" aboveAverage="0" equalAverage="0" bottom="0" percent="0" rank="0" text="" dxfId="74">
      <formula>AND(ISNUMBER($G51),$G51&gt;0.8,$G51&lt;=1)</formula>
    </cfRule>
  </conditionalFormatting>
  <conditionalFormatting sqref="J51">
    <cfRule type="expression" priority="403" aboveAverage="0" equalAverage="0" bottom="0" percent="0" rank="0" text="" dxfId="79">
      <formula>$J51="Budget dépassé"</formula>
    </cfRule>
    <cfRule type="expression" priority="404" aboveAverage="0" equalAverage="0" bottom="0" percent="0" rank="0" text="" dxfId="74">
      <formula>AND($J51&lt;&gt;"",$J51&lt;&gt;"Budget dépassé")</formula>
    </cfRule>
  </conditionalFormatting>
  <conditionalFormatting sqref="B52">
    <cfRule type="expression" priority="405" aboveAverage="0" equalAverage="0" bottom="0" percent="0" rank="0" text="" dxfId="73">
      <formula>$B52="Confirmé"</formula>
    </cfRule>
    <cfRule type="expression" priority="406" aboveAverage="0" equalAverage="0" bottom="0" percent="0" rank="0" text="" dxfId="74">
      <formula>$B52="Pressenti"</formula>
    </cfRule>
    <cfRule type="expression" priority="407" aboveAverage="0" equalAverage="0" bottom="0" percent="0" rank="0" text="" dxfId="0">
      <formula>$B52="Option"</formula>
    </cfRule>
  </conditionalFormatting>
  <conditionalFormatting sqref="F52">
    <cfRule type="expression" priority="408" aboveAverage="0" equalAverage="0" bottom="0" percent="0" rank="0" text="" dxfId="3">
      <formula>AND(ISNUMBER($F52),$F52&lt;0)</formula>
    </cfRule>
  </conditionalFormatting>
  <conditionalFormatting sqref="G52">
    <cfRule type="expression" priority="409" aboveAverage="0" equalAverage="0" bottom="0" percent="0" rank="0" text="" dxfId="3">
      <formula>AND(ISNUMBER($G52),$G52&gt;1)</formula>
    </cfRule>
    <cfRule type="expression" priority="410" aboveAverage="0" equalAverage="0" bottom="0" percent="0" rank="0" text="" dxfId="74">
      <formula>AND(ISNUMBER($G52),$G52&gt;0.8,$G52&lt;=1)</formula>
    </cfRule>
  </conditionalFormatting>
  <conditionalFormatting sqref="J52">
    <cfRule type="expression" priority="411" aboveAverage="0" equalAverage="0" bottom="0" percent="0" rank="0" text="" dxfId="79">
      <formula>$J52="Budget dépassé"</formula>
    </cfRule>
    <cfRule type="expression" priority="412" aboveAverage="0" equalAverage="0" bottom="0" percent="0" rank="0" text="" dxfId="74">
      <formula>AND($J52&lt;&gt;"",$J52&lt;&gt;"Budget dépassé")</formula>
    </cfRule>
  </conditionalFormatting>
  <conditionalFormatting sqref="B53">
    <cfRule type="expression" priority="413" aboveAverage="0" equalAverage="0" bottom="0" percent="0" rank="0" text="" dxfId="73">
      <formula>$B53="Confirmé"</formula>
    </cfRule>
    <cfRule type="expression" priority="414" aboveAverage="0" equalAverage="0" bottom="0" percent="0" rank="0" text="" dxfId="74">
      <formula>$B53="Pressenti"</formula>
    </cfRule>
    <cfRule type="expression" priority="415" aboveAverage="0" equalAverage="0" bottom="0" percent="0" rank="0" text="" dxfId="0">
      <formula>$B53="Option"</formula>
    </cfRule>
  </conditionalFormatting>
  <conditionalFormatting sqref="F53">
    <cfRule type="expression" priority="416" aboveAverage="0" equalAverage="0" bottom="0" percent="0" rank="0" text="" dxfId="3">
      <formula>AND(ISNUMBER($F53),$F53&lt;0)</formula>
    </cfRule>
  </conditionalFormatting>
  <conditionalFormatting sqref="G53">
    <cfRule type="expression" priority="417" aboveAverage="0" equalAverage="0" bottom="0" percent="0" rank="0" text="" dxfId="3">
      <formula>AND(ISNUMBER($G53),$G53&gt;1)</formula>
    </cfRule>
    <cfRule type="expression" priority="418" aboveAverage="0" equalAverage="0" bottom="0" percent="0" rank="0" text="" dxfId="74">
      <formula>AND(ISNUMBER($G53),$G53&gt;0.8,$G53&lt;=1)</formula>
    </cfRule>
  </conditionalFormatting>
  <conditionalFormatting sqref="J53">
    <cfRule type="expression" priority="419" aboveAverage="0" equalAverage="0" bottom="0" percent="0" rank="0" text="" dxfId="79">
      <formula>$J53="Budget dépassé"</formula>
    </cfRule>
    <cfRule type="expression" priority="420" aboveAverage="0" equalAverage="0" bottom="0" percent="0" rank="0" text="" dxfId="74">
      <formula>AND($J53&lt;&gt;"",$J53&lt;&gt;"Budget dépassé")</formula>
    </cfRule>
  </conditionalFormatting>
  <conditionalFormatting sqref="B54">
    <cfRule type="expression" priority="421" aboveAverage="0" equalAverage="0" bottom="0" percent="0" rank="0" text="" dxfId="73">
      <formula>$B54="Confirmé"</formula>
    </cfRule>
    <cfRule type="expression" priority="422" aboveAverage="0" equalAverage="0" bottom="0" percent="0" rank="0" text="" dxfId="74">
      <formula>$B54="Pressenti"</formula>
    </cfRule>
    <cfRule type="expression" priority="423" aboveAverage="0" equalAverage="0" bottom="0" percent="0" rank="0" text="" dxfId="0">
      <formula>$B54="Option"</formula>
    </cfRule>
  </conditionalFormatting>
  <conditionalFormatting sqref="F54">
    <cfRule type="expression" priority="424" aboveAverage="0" equalAverage="0" bottom="0" percent="0" rank="0" text="" dxfId="3">
      <formula>AND(ISNUMBER($F54),$F54&lt;0)</formula>
    </cfRule>
  </conditionalFormatting>
  <conditionalFormatting sqref="G54">
    <cfRule type="expression" priority="425" aboveAverage="0" equalAverage="0" bottom="0" percent="0" rank="0" text="" dxfId="3">
      <formula>AND(ISNUMBER($G54),$G54&gt;1)</formula>
    </cfRule>
    <cfRule type="expression" priority="426" aboveAverage="0" equalAverage="0" bottom="0" percent="0" rank="0" text="" dxfId="74">
      <formula>AND(ISNUMBER($G54),$G54&gt;0.8,$G54&lt;=1)</formula>
    </cfRule>
  </conditionalFormatting>
  <conditionalFormatting sqref="J54">
    <cfRule type="expression" priority="427" aboveAverage="0" equalAverage="0" bottom="0" percent="0" rank="0" text="" dxfId="79">
      <formula>$J54="Budget dépassé"</formula>
    </cfRule>
    <cfRule type="expression" priority="428" aboveAverage="0" equalAverage="0" bottom="0" percent="0" rank="0" text="" dxfId="74">
      <formula>AND($J54&lt;&gt;"",$J54&lt;&gt;"Budget dépassé")</formula>
    </cfRule>
  </conditionalFormatting>
  <conditionalFormatting sqref="B55">
    <cfRule type="expression" priority="429" aboveAverage="0" equalAverage="0" bottom="0" percent="0" rank="0" text="" dxfId="73">
      <formula>$B55="Confirmé"</formula>
    </cfRule>
    <cfRule type="expression" priority="430" aboveAverage="0" equalAverage="0" bottom="0" percent="0" rank="0" text="" dxfId="74">
      <formula>$B55="Pressenti"</formula>
    </cfRule>
    <cfRule type="expression" priority="431" aboveAverage="0" equalAverage="0" bottom="0" percent="0" rank="0" text="" dxfId="0">
      <formula>$B55="Option"</formula>
    </cfRule>
  </conditionalFormatting>
  <conditionalFormatting sqref="F55">
    <cfRule type="expression" priority="432" aboveAverage="0" equalAverage="0" bottom="0" percent="0" rank="0" text="" dxfId="3">
      <formula>AND(ISNUMBER($F55),$F55&lt;0)</formula>
    </cfRule>
  </conditionalFormatting>
  <conditionalFormatting sqref="G55">
    <cfRule type="expression" priority="433" aboveAverage="0" equalAverage="0" bottom="0" percent="0" rank="0" text="" dxfId="3">
      <formula>AND(ISNUMBER($G55),$G55&gt;1)</formula>
    </cfRule>
    <cfRule type="expression" priority="434" aboveAverage="0" equalAverage="0" bottom="0" percent="0" rank="0" text="" dxfId="74">
      <formula>AND(ISNUMBER($G55),$G55&gt;0.8,$G55&lt;=1)</formula>
    </cfRule>
  </conditionalFormatting>
  <conditionalFormatting sqref="J55">
    <cfRule type="expression" priority="435" aboveAverage="0" equalAverage="0" bottom="0" percent="0" rank="0" text="" dxfId="79">
      <formula>$J55="Budget dépassé"</formula>
    </cfRule>
    <cfRule type="expression" priority="436" aboveAverage="0" equalAverage="0" bottom="0" percent="0" rank="0" text="" dxfId="74">
      <formula>AND($J55&lt;&gt;"",$J55&lt;&gt;"Budget dépassé")</formula>
    </cfRule>
  </conditionalFormatting>
  <conditionalFormatting sqref="B56">
    <cfRule type="expression" priority="437" aboveAverage="0" equalAverage="0" bottom="0" percent="0" rank="0" text="" dxfId="73">
      <formula>$B56="Confirmé"</formula>
    </cfRule>
    <cfRule type="expression" priority="438" aboveAverage="0" equalAverage="0" bottom="0" percent="0" rank="0" text="" dxfId="74">
      <formula>$B56="Pressenti"</formula>
    </cfRule>
    <cfRule type="expression" priority="439" aboveAverage="0" equalAverage="0" bottom="0" percent="0" rank="0" text="" dxfId="0">
      <formula>$B56="Option"</formula>
    </cfRule>
  </conditionalFormatting>
  <conditionalFormatting sqref="F56">
    <cfRule type="expression" priority="440" aboveAverage="0" equalAverage="0" bottom="0" percent="0" rank="0" text="" dxfId="3">
      <formula>AND(ISNUMBER($F56),$F56&lt;0)</formula>
    </cfRule>
  </conditionalFormatting>
  <conditionalFormatting sqref="G56">
    <cfRule type="expression" priority="441" aboveAverage="0" equalAverage="0" bottom="0" percent="0" rank="0" text="" dxfId="3">
      <formula>AND(ISNUMBER($G56),$G56&gt;1)</formula>
    </cfRule>
    <cfRule type="expression" priority="442" aboveAverage="0" equalAverage="0" bottom="0" percent="0" rank="0" text="" dxfId="74">
      <formula>AND(ISNUMBER($G56),$G56&gt;0.8,$G56&lt;=1)</formula>
    </cfRule>
  </conditionalFormatting>
  <conditionalFormatting sqref="J56">
    <cfRule type="expression" priority="443" aboveAverage="0" equalAverage="0" bottom="0" percent="0" rank="0" text="" dxfId="79">
      <formula>$J56="Budget dépassé"</formula>
    </cfRule>
    <cfRule type="expression" priority="444" aboveAverage="0" equalAverage="0" bottom="0" percent="0" rank="0" text="" dxfId="74">
      <formula>AND($J56&lt;&gt;"",$J56&lt;&gt;"Budget dépassé")</formula>
    </cfRule>
  </conditionalFormatting>
  <conditionalFormatting sqref="B57">
    <cfRule type="expression" priority="445" aboveAverage="0" equalAverage="0" bottom="0" percent="0" rank="0" text="" dxfId="73">
      <formula>$B57="Confirmé"</formula>
    </cfRule>
    <cfRule type="expression" priority="446" aboveAverage="0" equalAverage="0" bottom="0" percent="0" rank="0" text="" dxfId="74">
      <formula>$B57="Pressenti"</formula>
    </cfRule>
    <cfRule type="expression" priority="447" aboveAverage="0" equalAverage="0" bottom="0" percent="0" rank="0" text="" dxfId="0">
      <formula>$B57="Option"</formula>
    </cfRule>
  </conditionalFormatting>
  <conditionalFormatting sqref="F57">
    <cfRule type="expression" priority="448" aboveAverage="0" equalAverage="0" bottom="0" percent="0" rank="0" text="" dxfId="3">
      <formula>AND(ISNUMBER($F57),$F57&lt;0)</formula>
    </cfRule>
  </conditionalFormatting>
  <conditionalFormatting sqref="G57">
    <cfRule type="expression" priority="449" aboveAverage="0" equalAverage="0" bottom="0" percent="0" rank="0" text="" dxfId="3">
      <formula>AND(ISNUMBER($G57),$G57&gt;1)</formula>
    </cfRule>
    <cfRule type="expression" priority="450" aboveAverage="0" equalAverage="0" bottom="0" percent="0" rank="0" text="" dxfId="74">
      <formula>AND(ISNUMBER($G57),$G57&gt;0.8,$G57&lt;=1)</formula>
    </cfRule>
  </conditionalFormatting>
  <conditionalFormatting sqref="J57">
    <cfRule type="expression" priority="451" aboveAverage="0" equalAverage="0" bottom="0" percent="0" rank="0" text="" dxfId="79">
      <formula>$J57="Budget dépassé"</formula>
    </cfRule>
    <cfRule type="expression" priority="452" aboveAverage="0" equalAverage="0" bottom="0" percent="0" rank="0" text="" dxfId="74">
      <formula>AND($J57&lt;&gt;"",$J57&lt;&gt;"Budget dépassé")</formula>
    </cfRule>
  </conditionalFormatting>
  <conditionalFormatting sqref="E63">
    <cfRule type="expression" priority="453" aboveAverage="0" equalAverage="0" bottom="0" percent="0" rank="0" text="" dxfId="3">
      <formula>AND(ISNUMBER($E63),$E63&lt;0)</formula>
    </cfRule>
    <cfRule type="expression" priority="454" aboveAverage="0" equalAverage="0" bottom="0" percent="0" rank="0" text="" dxfId="75">
      <formula>AND(ISNUMBER($E63),$E63&gt;0)</formula>
    </cfRule>
  </conditionalFormatting>
  <conditionalFormatting sqref="F63">
    <cfRule type="dataBar" priority="455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{DEDAFF4A-D2F6-4FDB-83DD-591D3DCA5BCC}</x14:id>
        </ext>
      </extLst>
    </cfRule>
  </conditionalFormatting>
  <conditionalFormatting sqref="E64">
    <cfRule type="expression" priority="456" aboveAverage="0" equalAverage="0" bottom="0" percent="0" rank="0" text="" dxfId="3">
      <formula>AND(ISNUMBER($E64),$E64&lt;0)</formula>
    </cfRule>
    <cfRule type="expression" priority="457" aboveAverage="0" equalAverage="0" bottom="0" percent="0" rank="0" text="" dxfId="75">
      <formula>AND(ISNUMBER($E64),$E64&gt;0)</formula>
    </cfRule>
  </conditionalFormatting>
  <conditionalFormatting sqref="F64">
    <cfRule type="dataBar" priority="458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{7AC59B68-3CE0-4FD0-B5C9-A03F8D85C68D}</x14:id>
        </ext>
      </extLst>
    </cfRule>
  </conditionalFormatting>
  <conditionalFormatting sqref="E65">
    <cfRule type="expression" priority="459" aboveAverage="0" equalAverage="0" bottom="0" percent="0" rank="0" text="" dxfId="3">
      <formula>AND(ISNUMBER($E65),$E65&lt;0)</formula>
    </cfRule>
    <cfRule type="expression" priority="460" aboveAverage="0" equalAverage="0" bottom="0" percent="0" rank="0" text="" dxfId="75">
      <formula>AND(ISNUMBER($E65),$E65&gt;0)</formula>
    </cfRule>
  </conditionalFormatting>
  <conditionalFormatting sqref="F65">
    <cfRule type="dataBar" priority="461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{DE79E45E-8780-4D61-B618-70A899822DBB}</x14:id>
        </ext>
      </extLst>
    </cfRule>
  </conditionalFormatting>
  <conditionalFormatting sqref="E66">
    <cfRule type="expression" priority="462" aboveAverage="0" equalAverage="0" bottom="0" percent="0" rank="0" text="" dxfId="3">
      <formula>AND(ISNUMBER($E66),$E66&lt;0)</formula>
    </cfRule>
    <cfRule type="expression" priority="463" aboveAverage="0" equalAverage="0" bottom="0" percent="0" rank="0" text="" dxfId="75">
      <formula>AND(ISNUMBER($E66),$E66&gt;0)</formula>
    </cfRule>
  </conditionalFormatting>
  <conditionalFormatting sqref="F66">
    <cfRule type="dataBar" priority="464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{887050DC-A04F-4361-A595-6620DA2F1010}</x14:id>
        </ext>
      </extLst>
    </cfRule>
  </conditionalFormatting>
  <conditionalFormatting sqref="E67">
    <cfRule type="expression" priority="465" aboveAverage="0" equalAverage="0" bottom="0" percent="0" rank="0" text="" dxfId="3">
      <formula>AND(ISNUMBER($E67),$E67&lt;0)</formula>
    </cfRule>
    <cfRule type="expression" priority="466" aboveAverage="0" equalAverage="0" bottom="0" percent="0" rank="0" text="" dxfId="75">
      <formula>AND(ISNUMBER($E67),$E67&gt;0)</formula>
    </cfRule>
  </conditionalFormatting>
  <conditionalFormatting sqref="F67">
    <cfRule type="dataBar" priority="467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{357B69EE-7945-43F4-A63D-51237388CCD0}</x14:id>
        </ext>
      </extLst>
    </cfRule>
  </conditionalFormatting>
  <conditionalFormatting sqref="E68">
    <cfRule type="expression" priority="468" aboveAverage="0" equalAverage="0" bottom="0" percent="0" rank="0" text="" dxfId="3">
      <formula>AND(ISNUMBER($E68),$E68&lt;0)</formula>
    </cfRule>
    <cfRule type="expression" priority="469" aboveAverage="0" equalAverage="0" bottom="0" percent="0" rank="0" text="" dxfId="75">
      <formula>AND(ISNUMBER($E68),$E68&gt;0)</formula>
    </cfRule>
  </conditionalFormatting>
  <conditionalFormatting sqref="F68">
    <cfRule type="dataBar" priority="470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{AE8A807D-2FDD-43C8-BE12-415419A3F67A}</x14:id>
        </ext>
      </extLst>
    </cfRule>
  </conditionalFormatting>
  <conditionalFormatting sqref="E69">
    <cfRule type="expression" priority="471" aboveAverage="0" equalAverage="0" bottom="0" percent="0" rank="0" text="" dxfId="3">
      <formula>AND(ISNUMBER($E69),$E69&lt;0)</formula>
    </cfRule>
    <cfRule type="expression" priority="472" aboveAverage="0" equalAverage="0" bottom="0" percent="0" rank="0" text="" dxfId="75">
      <formula>AND(ISNUMBER($E69),$E69&gt;0)</formula>
    </cfRule>
  </conditionalFormatting>
  <conditionalFormatting sqref="F69">
    <cfRule type="dataBar" priority="473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{D9F62E2A-89A3-4CE4-A72C-D426F1CA85D0}</x14:id>
        </ext>
      </extLst>
    </cfRule>
  </conditionalFormatting>
  <conditionalFormatting sqref="E70">
    <cfRule type="expression" priority="474" aboveAverage="0" equalAverage="0" bottom="0" percent="0" rank="0" text="" dxfId="3">
      <formula>AND(ISNUMBER($E70),$E70&lt;0)</formula>
    </cfRule>
    <cfRule type="expression" priority="475" aboveAverage="0" equalAverage="0" bottom="0" percent="0" rank="0" text="" dxfId="75">
      <formula>AND(ISNUMBER($E70),$E70&gt;0)</formula>
    </cfRule>
  </conditionalFormatting>
  <conditionalFormatting sqref="F70">
    <cfRule type="dataBar" priority="476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{E6A61C79-1A90-4551-BB2A-BA643D1EF58D}</x14:id>
        </ext>
      </extLst>
    </cfRule>
  </conditionalFormatting>
  <conditionalFormatting sqref="E71">
    <cfRule type="expression" priority="477" aboveAverage="0" equalAverage="0" bottom="0" percent="0" rank="0" text="" dxfId="3">
      <formula>AND(ISNUMBER($E71),$E71&lt;0)</formula>
    </cfRule>
    <cfRule type="expression" priority="478" aboveAverage="0" equalAverage="0" bottom="0" percent="0" rank="0" text="" dxfId="75">
      <formula>AND(ISNUMBER($E71),$E71&gt;0)</formula>
    </cfRule>
  </conditionalFormatting>
  <conditionalFormatting sqref="F71">
    <cfRule type="dataBar" priority="479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{5DBE10C1-3FB4-4A50-8549-E0BBAC58DA90}</x14:id>
        </ext>
      </extLst>
    </cfRule>
  </conditionalFormatting>
  <conditionalFormatting sqref="E72">
    <cfRule type="expression" priority="480" aboveAverage="0" equalAverage="0" bottom="0" percent="0" rank="0" text="" dxfId="3">
      <formula>AND(ISNUMBER($E72),$E72&lt;0)</formula>
    </cfRule>
    <cfRule type="expression" priority="481" aboveAverage="0" equalAverage="0" bottom="0" percent="0" rank="0" text="" dxfId="75">
      <formula>AND(ISNUMBER($E72),$E72&gt;0)</formula>
    </cfRule>
  </conditionalFormatting>
  <conditionalFormatting sqref="F72">
    <cfRule type="dataBar" priority="48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{706749A0-B8C0-47D3-B361-A146BA29A044}</x14:id>
        </ext>
      </extLst>
    </cfRule>
  </conditionalFormatting>
  <conditionalFormatting sqref="E73">
    <cfRule type="expression" priority="483" aboveAverage="0" equalAverage="0" bottom="0" percent="0" rank="0" text="" dxfId="3">
      <formula>AND(ISNUMBER($E73),$E73&lt;0)</formula>
    </cfRule>
    <cfRule type="expression" priority="484" aboveAverage="0" equalAverage="0" bottom="0" percent="0" rank="0" text="" dxfId="75">
      <formula>AND(ISNUMBER($E73),$E73&gt;0)</formula>
    </cfRule>
  </conditionalFormatting>
  <conditionalFormatting sqref="F73">
    <cfRule type="dataBar" priority="485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{222EA824-36F9-49A0-B0D6-6A40F2DD75CE}</x14:id>
        </ext>
      </extLst>
    </cfRule>
  </conditionalFormatting>
  <conditionalFormatting sqref="E74">
    <cfRule type="expression" priority="486" aboveAverage="0" equalAverage="0" bottom="0" percent="0" rank="0" text="" dxfId="3">
      <formula>AND(ISNUMBER($E74),$E74&lt;0)</formula>
    </cfRule>
    <cfRule type="expression" priority="487" aboveAverage="0" equalAverage="0" bottom="0" percent="0" rank="0" text="" dxfId="75">
      <formula>AND(ISNUMBER($E74),$E74&gt;0)</formula>
    </cfRule>
  </conditionalFormatting>
  <conditionalFormatting sqref="F74">
    <cfRule type="dataBar" priority="488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{EC3B5B44-762B-48E2-A340-9CE41E8D7C30}</x14:id>
        </ext>
      </extLst>
    </cfRule>
  </conditionalFormatting>
  <conditionalFormatting sqref="E75">
    <cfRule type="expression" priority="489" aboveAverage="0" equalAverage="0" bottom="0" percent="0" rank="0" text="" dxfId="3">
      <formula>AND(ISNUMBER($E75),$E75&lt;0)</formula>
    </cfRule>
    <cfRule type="expression" priority="490" aboveAverage="0" equalAverage="0" bottom="0" percent="0" rank="0" text="" dxfId="75">
      <formula>AND(ISNUMBER($E75),$E75&gt;0)</formula>
    </cfRule>
  </conditionalFormatting>
  <conditionalFormatting sqref="F75">
    <cfRule type="dataBar" priority="491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{5A9B4922-B655-4410-BDD2-9B539213667C}</x14:id>
        </ext>
      </extLst>
    </cfRule>
  </conditionalFormatting>
  <conditionalFormatting sqref="E76">
    <cfRule type="expression" priority="492" aboveAverage="0" equalAverage="0" bottom="0" percent="0" rank="0" text="" dxfId="3">
      <formula>AND(ISNUMBER($E76),$E76&lt;0)</formula>
    </cfRule>
    <cfRule type="expression" priority="493" aboveAverage="0" equalAverage="0" bottom="0" percent="0" rank="0" text="" dxfId="75">
      <formula>AND(ISNUMBER($E76),$E76&gt;0)</formula>
    </cfRule>
  </conditionalFormatting>
  <conditionalFormatting sqref="F76">
    <cfRule type="dataBar" priority="494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{2C11C521-F073-46D2-BB35-8000DBC8B162}</x14:id>
        </ext>
      </extLst>
    </cfRule>
  </conditionalFormatting>
  <conditionalFormatting sqref="E77">
    <cfRule type="expression" priority="495" aboveAverage="0" equalAverage="0" bottom="0" percent="0" rank="0" text="" dxfId="3">
      <formula>AND(ISNUMBER($E77),$E77&lt;0)</formula>
    </cfRule>
    <cfRule type="expression" priority="496" aboveAverage="0" equalAverage="0" bottom="0" percent="0" rank="0" text="" dxfId="75">
      <formula>AND(ISNUMBER($E77),$E77&gt;0)</formula>
    </cfRule>
  </conditionalFormatting>
  <conditionalFormatting sqref="F77">
    <cfRule type="dataBar" priority="497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{3146D1E2-2B95-47F7-8581-7B37ACCDB65F}</x14:id>
        </ext>
      </extLst>
    </cfRule>
  </conditionalFormatting>
  <conditionalFormatting sqref="E78">
    <cfRule type="expression" priority="498" aboveAverage="0" equalAverage="0" bottom="0" percent="0" rank="0" text="" dxfId="3">
      <formula>AND(ISNUMBER($E78),$E78&lt;0)</formula>
    </cfRule>
    <cfRule type="expression" priority="499" aboveAverage="0" equalAverage="0" bottom="0" percent="0" rank="0" text="" dxfId="75">
      <formula>AND(ISNUMBER($E78),$E78&gt;0)</formula>
    </cfRule>
  </conditionalFormatting>
  <conditionalFormatting sqref="F78">
    <cfRule type="dataBar" priority="500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{A8AF5CDA-6FB0-48B0-A8C5-2ED3EAF7CB73}</x14:id>
        </ext>
      </extLst>
    </cfRule>
  </conditionalFormatting>
  <conditionalFormatting sqref="E79">
    <cfRule type="expression" priority="501" aboveAverage="0" equalAverage="0" bottom="0" percent="0" rank="0" text="" dxfId="3">
      <formula>AND(ISNUMBER($E79),$E79&lt;0)</formula>
    </cfRule>
    <cfRule type="expression" priority="502" aboveAverage="0" equalAverage="0" bottom="0" percent="0" rank="0" text="" dxfId="75">
      <formula>AND(ISNUMBER($E79),$E79&gt;0)</formula>
    </cfRule>
  </conditionalFormatting>
  <conditionalFormatting sqref="F79">
    <cfRule type="dataBar" priority="503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{22AF5CEB-D7D0-4391-AA21-224925139625}</x14:id>
        </ext>
      </extLst>
    </cfRule>
  </conditionalFormatting>
  <conditionalFormatting sqref="E80">
    <cfRule type="expression" priority="504" aboveAverage="0" equalAverage="0" bottom="0" percent="0" rank="0" text="" dxfId="3">
      <formula>AND(ISNUMBER($E80),$E80&lt;0)</formula>
    </cfRule>
    <cfRule type="expression" priority="505" aboveAverage="0" equalAverage="0" bottom="0" percent="0" rank="0" text="" dxfId="75">
      <formula>AND(ISNUMBER($E80),$E80&gt;0)</formula>
    </cfRule>
  </conditionalFormatting>
  <conditionalFormatting sqref="F80">
    <cfRule type="dataBar" priority="506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{45E26BDA-FD81-4EB3-82EE-6E8C74704AF0}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DA056-344E-40BC-85DC-2E4B90296D3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I8</xm:sqref>
        </x14:conditionalFormatting>
        <x14:conditionalFormatting xmlns:xm="http://schemas.microsoft.com/office/excel/2006/main">
          <x14:cfRule type="dataBar" id="{BAFD338C-92D3-4C70-BC9B-E5B13F9D4E4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I9</xm:sqref>
        </x14:conditionalFormatting>
        <x14:conditionalFormatting xmlns:xm="http://schemas.microsoft.com/office/excel/2006/main">
          <x14:cfRule type="dataBar" id="{3DCE2482-AD77-472F-9EB5-5C183F53EDA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65D2CD50-9851-425F-A61F-99A1FF41E85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I11</xm:sqref>
        </x14:conditionalFormatting>
        <x14:conditionalFormatting xmlns:xm="http://schemas.microsoft.com/office/excel/2006/main">
          <x14:cfRule type="dataBar" id="{80E4795A-154C-484F-A799-951A85A832C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C7D767B0-C5A0-4816-AD86-9754A489258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4387EDFF-7CAB-491E-8A65-A3DF15FCE67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2F52D153-2068-49AD-8A7F-983590B9D0B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1843EFBD-8CBD-4421-A9A6-B0EB7148557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12195357-5700-4BF3-B932-409B4DDB6F5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I17</xm:sqref>
        </x14:conditionalFormatting>
        <x14:conditionalFormatting xmlns:xm="http://schemas.microsoft.com/office/excel/2006/main">
          <x14:cfRule type="dataBar" id="{D6358217-A89D-416C-9C67-71814900245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65C48D24-F03F-41D2-A5EE-8012A8F4B8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I19</xm:sqref>
        </x14:conditionalFormatting>
        <x14:conditionalFormatting xmlns:xm="http://schemas.microsoft.com/office/excel/2006/main">
          <x14:cfRule type="dataBar" id="{AAD3C27D-8162-4520-A758-781F3F164B2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I20</xm:sqref>
        </x14:conditionalFormatting>
        <x14:conditionalFormatting xmlns:xm="http://schemas.microsoft.com/office/excel/2006/main">
          <x14:cfRule type="dataBar" id="{61D11A2F-A428-4BEE-9E56-5391959975B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I21</xm:sqref>
        </x14:conditionalFormatting>
        <x14:conditionalFormatting xmlns:xm="http://schemas.microsoft.com/office/excel/2006/main">
          <x14:cfRule type="dataBar" id="{AA359B1F-A777-409B-B1AC-CB7194AFBC3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9D93BC43-F0BF-446D-A43C-7650E959EF3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I23</xm:sqref>
        </x14:conditionalFormatting>
        <x14:conditionalFormatting xmlns:xm="http://schemas.microsoft.com/office/excel/2006/main">
          <x14:cfRule type="dataBar" id="{9AC5E34A-C367-44B8-8784-A450D7C6295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58745F3B-E527-48F9-9B9F-65DE937C6E5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dataBar" id="{6D474EE4-C7E2-4680-B946-52152A67C6D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8B896157-CF50-4C11-87C4-701F819C72E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I27</xm:sqref>
        </x14:conditionalFormatting>
        <x14:conditionalFormatting xmlns:xm="http://schemas.microsoft.com/office/excel/2006/main">
          <x14:cfRule type="dataBar" id="{529690BC-2156-45DD-888E-295E22ACF28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I28</xm:sqref>
        </x14:conditionalFormatting>
        <x14:conditionalFormatting xmlns:xm="http://schemas.microsoft.com/office/excel/2006/main">
          <x14:cfRule type="dataBar" id="{B1F6DE33-23D8-4032-AB10-1546EFCC857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I29</xm:sqref>
        </x14:conditionalFormatting>
        <x14:conditionalFormatting xmlns:xm="http://schemas.microsoft.com/office/excel/2006/main">
          <x14:cfRule type="dataBar" id="{ADD7C414-7FEF-415D-8EEA-F9D5C073E12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I30</xm:sqref>
        </x14:conditionalFormatting>
        <x14:conditionalFormatting xmlns:xm="http://schemas.microsoft.com/office/excel/2006/main">
          <x14:cfRule type="dataBar" id="{CD6EB285-DD8A-4E23-B980-5BF08149255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I31</xm:sqref>
        </x14:conditionalFormatting>
        <x14:conditionalFormatting xmlns:xm="http://schemas.microsoft.com/office/excel/2006/main">
          <x14:cfRule type="dataBar" id="{9550D766-7C47-4AAE-89FF-D088C1DBA01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3AE022-42A0-4630-99F5-10CFF8FCD1E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I33</xm:sqref>
        </x14:conditionalFormatting>
        <x14:conditionalFormatting xmlns:xm="http://schemas.microsoft.com/office/excel/2006/main">
          <x14:cfRule type="dataBar" id="{70E8CB63-39D7-4130-BDB3-D9EA30A930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7115F5C3-79E1-441E-A441-C6C02BF2BCB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I35</xm:sqref>
        </x14:conditionalFormatting>
        <x14:conditionalFormatting xmlns:xm="http://schemas.microsoft.com/office/excel/2006/main">
          <x14:cfRule type="dataBar" id="{37126B9E-16A0-4EAC-B6C3-C3CDF53D7CD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C5F820BF-BB50-4BAF-A022-66DBAFC78E4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I37</xm:sqref>
        </x14:conditionalFormatting>
        <x14:conditionalFormatting xmlns:xm="http://schemas.microsoft.com/office/excel/2006/main">
          <x14:cfRule type="dataBar" id="{DEDAFF4A-D2F6-4FDB-83DD-591D3DCA5BC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F63</xm:sqref>
        </x14:conditionalFormatting>
        <x14:conditionalFormatting xmlns:xm="http://schemas.microsoft.com/office/excel/2006/main">
          <x14:cfRule type="dataBar" id="{7AC59B68-3CE0-4FD0-B5C9-A03F8D85C68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F64</xm:sqref>
        </x14:conditionalFormatting>
        <x14:conditionalFormatting xmlns:xm="http://schemas.microsoft.com/office/excel/2006/main">
          <x14:cfRule type="dataBar" id="{DE79E45E-8780-4D61-B618-70A899822DB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887050DC-A04F-4361-A595-6620DA2F101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F66</xm:sqref>
        </x14:conditionalFormatting>
        <x14:conditionalFormatting xmlns:xm="http://schemas.microsoft.com/office/excel/2006/main">
          <x14:cfRule type="dataBar" id="{357B69EE-7945-43F4-A63D-51237388CCD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F67</xm:sqref>
        </x14:conditionalFormatting>
        <x14:conditionalFormatting xmlns:xm="http://schemas.microsoft.com/office/excel/2006/main">
          <x14:cfRule type="dataBar" id="{AE8A807D-2FDD-43C8-BE12-415419A3F67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F68</xm:sqref>
        </x14:conditionalFormatting>
        <x14:conditionalFormatting xmlns:xm="http://schemas.microsoft.com/office/excel/2006/main">
          <x14:cfRule type="dataBar" id="{D9F62E2A-89A3-4CE4-A72C-D426F1CA85D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F69</xm:sqref>
        </x14:conditionalFormatting>
        <x14:conditionalFormatting xmlns:xm="http://schemas.microsoft.com/office/excel/2006/main">
          <x14:cfRule type="dataBar" id="{E6A61C79-1A90-4551-BB2A-BA643D1EF58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F70</xm:sqref>
        </x14:conditionalFormatting>
        <x14:conditionalFormatting xmlns:xm="http://schemas.microsoft.com/office/excel/2006/main">
          <x14:cfRule type="dataBar" id="{5DBE10C1-3FB4-4A50-8549-E0BBAC58DA9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F71</xm:sqref>
        </x14:conditionalFormatting>
        <x14:conditionalFormatting xmlns:xm="http://schemas.microsoft.com/office/excel/2006/main">
          <x14:cfRule type="dataBar" id="{706749A0-B8C0-47D3-B361-A146BA29A04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F72</xm:sqref>
        </x14:conditionalFormatting>
        <x14:conditionalFormatting xmlns:xm="http://schemas.microsoft.com/office/excel/2006/main">
          <x14:cfRule type="dataBar" id="{222EA824-36F9-49A0-B0D6-6A40F2DD75C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F73</xm:sqref>
        </x14:conditionalFormatting>
        <x14:conditionalFormatting xmlns:xm="http://schemas.microsoft.com/office/excel/2006/main">
          <x14:cfRule type="dataBar" id="{EC3B5B44-762B-48E2-A340-9CE41E8D7C3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F74</xm:sqref>
        </x14:conditionalFormatting>
        <x14:conditionalFormatting xmlns:xm="http://schemas.microsoft.com/office/excel/2006/main">
          <x14:cfRule type="dataBar" id="{5A9B4922-B655-4410-BDD2-9B539213667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F75</xm:sqref>
        </x14:conditionalFormatting>
        <x14:conditionalFormatting xmlns:xm="http://schemas.microsoft.com/office/excel/2006/main">
          <x14:cfRule type="dataBar" id="{2C11C521-F073-46D2-BB35-8000DBC8B16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F76</xm:sqref>
        </x14:conditionalFormatting>
        <x14:conditionalFormatting xmlns:xm="http://schemas.microsoft.com/office/excel/2006/main">
          <x14:cfRule type="dataBar" id="{3146D1E2-2B95-47F7-8581-7B37ACCDB65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A8AF5CDA-6FB0-48B0-A8C5-2ED3EAF7CB7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F78</xm:sqref>
        </x14:conditionalFormatting>
        <x14:conditionalFormatting xmlns:xm="http://schemas.microsoft.com/office/excel/2006/main">
          <x14:cfRule type="dataBar" id="{22AF5CEB-D7D0-4391-AA21-22492513962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F79</xm:sqref>
        </x14:conditionalFormatting>
        <x14:conditionalFormatting xmlns:xm="http://schemas.microsoft.com/office/excel/2006/main">
          <x14:cfRule type="dataBar" id="{45E26BDA-FD81-4EB3-82EE-6E8C74704A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F80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2026-10-29T08:53:53Z</dcterms:created>
  <dc:creator>openpyxl</dc:creator>
  <dc:description/>
  <dc:language>en-US</dc:language>
  <cp:lastModifiedBy/>
  <dcterms:modified xsi:type="dcterms:W3CDTF">2026-10-29T08:53:54Z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